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ylon\Downloads\"/>
    </mc:Choice>
  </mc:AlternateContent>
  <xr:revisionPtr revIDLastSave="0" documentId="13_ncr:1_{4A4A86DF-DDF5-4CAF-BECD-1240668083E4}" xr6:coauthVersionLast="36" xr6:coauthVersionMax="36" xr10:uidLastSave="{00000000-0000-0000-0000-000000000000}"/>
  <bookViews>
    <workbookView xWindow="0" yWindow="0" windowWidth="28800" windowHeight="13425" tabRatio="777" activeTab="5" xr2:uid="{00000000-000D-0000-FFFF-FFFF00000000}"/>
  </bookViews>
  <sheets>
    <sheet name="PICOLE - BOMBONIERE" sheetId="20" r:id="rId1"/>
    <sheet name="POLPAS 1" sheetId="23" r:id="rId2"/>
    <sheet name="VINHOS" sheetId="22" r:id="rId3"/>
    <sheet name="DESTILADOS" sheetId="24" r:id="rId4"/>
    <sheet name="BEBIDAS SEM" sheetId="26" r:id="rId5"/>
    <sheet name="BEBIDAS COM" sheetId="27" r:id="rId6"/>
  </sheets>
  <definedNames>
    <definedName name="_xlnm.Print_Area" localSheetId="5">'BEBIDAS COM'!$A$1:$D$49</definedName>
    <definedName name="_xlnm.Print_Area" localSheetId="4">'BEBIDAS SEM'!$A$1:$D$34</definedName>
    <definedName name="_xlnm.Print_Area" localSheetId="3">DESTILADOS!$A$1:$E$53</definedName>
    <definedName name="_xlnm.Print_Area" localSheetId="1">'POLPAS 1'!$A$1:$D$51</definedName>
    <definedName name="_xlnm.Print_Area" localSheetId="2">VINHOS!$A$1:$D$45</definedName>
  </definedNames>
  <calcPr calcId="181029"/>
</workbook>
</file>

<file path=xl/calcChain.xml><?xml version="1.0" encoding="utf-8"?>
<calcChain xmlns="http://schemas.openxmlformats.org/spreadsheetml/2006/main">
  <c r="F31" i="24" l="1"/>
  <c r="F32" i="24"/>
  <c r="E45" i="27" l="1"/>
  <c r="E44" i="27"/>
  <c r="E43" i="27"/>
  <c r="E42" i="27"/>
  <c r="E41" i="27"/>
  <c r="E40" i="27"/>
  <c r="E31" i="27"/>
  <c r="E30" i="27"/>
  <c r="E29" i="27"/>
  <c r="E28" i="27"/>
  <c r="E27" i="27"/>
  <c r="E26" i="27"/>
  <c r="E25" i="27"/>
  <c r="E24" i="27"/>
  <c r="E19" i="27"/>
  <c r="E18" i="27"/>
  <c r="E17" i="27"/>
  <c r="E16" i="27"/>
  <c r="E15" i="27"/>
  <c r="E14" i="27"/>
  <c r="E13" i="27"/>
  <c r="E12" i="27"/>
  <c r="E11" i="27"/>
  <c r="E29" i="26"/>
  <c r="E25" i="26"/>
  <c r="E26" i="26"/>
  <c r="E30" i="26"/>
  <c r="E27" i="26"/>
  <c r="E23" i="26"/>
  <c r="E22" i="26"/>
  <c r="E13" i="26"/>
  <c r="E19" i="26"/>
  <c r="E17" i="26"/>
  <c r="E24" i="26"/>
  <c r="E11" i="26"/>
  <c r="E14" i="26"/>
  <c r="E12" i="26"/>
  <c r="E15" i="26"/>
  <c r="E20" i="26"/>
  <c r="E16" i="26"/>
  <c r="E28" i="26"/>
  <c r="E18" i="26"/>
  <c r="E21" i="26"/>
  <c r="F53" i="24"/>
  <c r="F52" i="24"/>
  <c r="F51" i="24"/>
  <c r="F50" i="24"/>
  <c r="F49" i="24"/>
  <c r="F48" i="24"/>
  <c r="F47" i="24"/>
  <c r="F46" i="24"/>
  <c r="F45" i="24"/>
  <c r="F44" i="24"/>
  <c r="F43" i="24"/>
  <c r="F42" i="24"/>
  <c r="F41" i="24"/>
  <c r="F40" i="24"/>
  <c r="F39" i="24"/>
  <c r="F38" i="24"/>
  <c r="F37" i="24"/>
  <c r="F36" i="24"/>
  <c r="F35" i="24"/>
  <c r="F34" i="24"/>
  <c r="F33" i="24"/>
  <c r="F30" i="24"/>
  <c r="F29" i="24"/>
  <c r="F28" i="24"/>
  <c r="F27" i="24"/>
  <c r="F26" i="24"/>
  <c r="F25" i="24"/>
  <c r="F24" i="24"/>
  <c r="F23" i="24"/>
  <c r="F22" i="24"/>
  <c r="F21" i="24"/>
  <c r="F20" i="24"/>
  <c r="F19" i="24"/>
  <c r="F18" i="24"/>
  <c r="F17" i="24"/>
  <c r="F16" i="24"/>
  <c r="F15" i="24"/>
  <c r="F14" i="24"/>
  <c r="F13" i="24"/>
  <c r="F12" i="24"/>
  <c r="F11" i="24"/>
</calcChain>
</file>

<file path=xl/sharedStrings.xml><?xml version="1.0" encoding="utf-8"?>
<sst xmlns="http://schemas.openxmlformats.org/spreadsheetml/2006/main" count="238" uniqueCount="164">
  <si>
    <t>HEINEKEN LONG NECK</t>
  </si>
  <si>
    <t>VODKA ORLOFF GF</t>
  </si>
  <si>
    <t>VODKA SMIRNOFF GF</t>
  </si>
  <si>
    <t>VODKA ABSOLUT GF</t>
  </si>
  <si>
    <t>STEINHAEGER NACIONAL</t>
  </si>
  <si>
    <t>CAMPARI</t>
  </si>
  <si>
    <t>MARTINI BIANCO</t>
  </si>
  <si>
    <t>DEL VALLE DE UVA</t>
  </si>
  <si>
    <t>ROYAL SALUTE</t>
  </si>
  <si>
    <t>HALLS</t>
  </si>
  <si>
    <t>TRIDENT</t>
  </si>
  <si>
    <t>POLPA DE CAJU</t>
  </si>
  <si>
    <t>POLPA DE ABACAXI</t>
  </si>
  <si>
    <t>POLPA DE MARACUJA</t>
  </si>
  <si>
    <t>MARACUJA FRUTA</t>
  </si>
  <si>
    <t>POLPA DE ACEROLA</t>
  </si>
  <si>
    <t>POLPA DE COCO</t>
  </si>
  <si>
    <t>MORANGO CONGELADO</t>
  </si>
  <si>
    <t>MINI ESKIBOM</t>
  </si>
  <si>
    <t>PICOLE DE COCO SORRISO</t>
  </si>
  <si>
    <t>TEQUILA PRATA</t>
  </si>
  <si>
    <t>BRIGADEIRO</t>
  </si>
  <si>
    <t>CORNETTO</t>
  </si>
  <si>
    <t>CHICABON</t>
  </si>
  <si>
    <t>MAGNUM</t>
  </si>
  <si>
    <t>TABLITO</t>
  </si>
  <si>
    <t>BACARDI BRANCO</t>
  </si>
  <si>
    <t>CHOCOLATE</t>
  </si>
  <si>
    <t>CASAS DEL MAIPO CHARDONNAY</t>
  </si>
  <si>
    <t>SOL FA SOUL MALBEC</t>
  </si>
  <si>
    <t>MALACARA MALBEC</t>
  </si>
  <si>
    <t>COD</t>
  </si>
  <si>
    <t>PRODUTO</t>
  </si>
  <si>
    <t>KIWI FRUTA</t>
  </si>
  <si>
    <t>LARANJA</t>
  </si>
  <si>
    <t>FRUTTARE</t>
  </si>
  <si>
    <t>MAMAO FRUTA</t>
  </si>
  <si>
    <t>CASAS DEL MAIPO CARMENERE</t>
  </si>
  <si>
    <t>GUARANA LITRO</t>
  </si>
  <si>
    <t>GIN NACIONAL</t>
  </si>
  <si>
    <t>ÁGUA MINIERAL 1,5L</t>
  </si>
  <si>
    <t>CABARE FIRE CANELA GARRAFA</t>
  </si>
  <si>
    <t>1913 BRUT ROSE</t>
  </si>
  <si>
    <t xml:space="preserve">1913 BRUT </t>
  </si>
  <si>
    <t xml:space="preserve">LIMAO SICILIANO </t>
  </si>
  <si>
    <t xml:space="preserve">VINHO GARRAFÃO BAG </t>
  </si>
  <si>
    <t>DATA</t>
  </si>
  <si>
    <t>QUANTIDADE</t>
  </si>
  <si>
    <t xml:space="preserve">BUCHANAS </t>
  </si>
  <si>
    <t xml:space="preserve">RED LABEL  </t>
  </si>
  <si>
    <t xml:space="preserve">BLACK LABEL </t>
  </si>
  <si>
    <t xml:space="preserve">GOLD LABEL  </t>
  </si>
  <si>
    <t xml:space="preserve">BLUE LABEL </t>
  </si>
  <si>
    <t xml:space="preserve">OLD PARR </t>
  </si>
  <si>
    <t xml:space="preserve">JACK  DANIELS </t>
  </si>
  <si>
    <t xml:space="preserve">TEQUILA JOSE CUERVO </t>
  </si>
  <si>
    <t xml:space="preserve">GIN TANQUERAY </t>
  </si>
  <si>
    <t>RESERVA 51 SINGULAR</t>
  </si>
  <si>
    <t>LE PETIT MAYNNE BORDEAUX</t>
  </si>
  <si>
    <t>LICOR DE CHOCOLATE 1888</t>
  </si>
  <si>
    <t>CACHACA 51</t>
  </si>
  <si>
    <t xml:space="preserve">LICOR DE CASSIS </t>
  </si>
  <si>
    <t xml:space="preserve">RESERVA 51 </t>
  </si>
  <si>
    <t xml:space="preserve">SELETA </t>
  </si>
  <si>
    <t>PEPSI</t>
  </si>
  <si>
    <t>PEPSI ZERO</t>
  </si>
  <si>
    <t>LIMONETO</t>
  </si>
  <si>
    <t>CHOPP ANTARCTICA</t>
  </si>
  <si>
    <t>CHOPP BRAHMA</t>
  </si>
  <si>
    <t>CHOPP BRAHMA BLACK</t>
  </si>
  <si>
    <t>SPATEN</t>
  </si>
  <si>
    <t>STELLA ARTOIS</t>
  </si>
  <si>
    <t>ORIGINAL</t>
  </si>
  <si>
    <t>BUDWEISER</t>
  </si>
  <si>
    <t>BRAHMA</t>
  </si>
  <si>
    <t>ANTARCTICA BOA</t>
  </si>
  <si>
    <t>COLORADO APPIA WEISS</t>
  </si>
  <si>
    <t>CORONA CERO</t>
  </si>
  <si>
    <t>CORONA LONG NECK</t>
  </si>
  <si>
    <t>STELLA PURE GOLD</t>
  </si>
  <si>
    <t>CARACU LONG NECK</t>
  </si>
  <si>
    <t>MUMM BRUT</t>
  </si>
  <si>
    <t>PORTA NOVA VINHO VERDE</t>
  </si>
  <si>
    <t>S DE SIEGEL CHARDONNAY</t>
  </si>
  <si>
    <t>4 ESTACIONES SPRING</t>
  </si>
  <si>
    <t>CASAS DEL MAIPO ROSE</t>
  </si>
  <si>
    <t>S DE SIEGEL ROSE</t>
  </si>
  <si>
    <t>CAVE DE LADAC ROUGE</t>
  </si>
  <si>
    <t>ANCIANO CLASSICO</t>
  </si>
  <si>
    <t>LA VID TINTO</t>
  </si>
  <si>
    <t>LA VID VERDE</t>
  </si>
  <si>
    <t>4 ESTACIONES AUTUMM</t>
  </si>
  <si>
    <t>4 ESTACIONES WINTER</t>
  </si>
  <si>
    <t>KAUZO</t>
  </si>
  <si>
    <t>ALMA JOVEN</t>
  </si>
  <si>
    <t>CASAS DEL MAIPO CAB SAUVIGNON</t>
  </si>
  <si>
    <t>ANNIVERSARIO 62</t>
  </si>
  <si>
    <t>MILUNA ROSSO</t>
  </si>
  <si>
    <t>SAN GERMAN (660ml)</t>
  </si>
  <si>
    <t>1913 MOSCATEL</t>
  </si>
  <si>
    <t>TOTAL</t>
  </si>
  <si>
    <t>DOSE</t>
  </si>
  <si>
    <t xml:space="preserve">RECANTO  DA PRAÇA </t>
  </si>
  <si>
    <t>PERÍODO</t>
  </si>
  <si>
    <t>RESPONSÁVEL</t>
  </si>
  <si>
    <t xml:space="preserve">BACARDI ORO </t>
  </si>
  <si>
    <t>GARRAFA</t>
  </si>
  <si>
    <t>CASTILLO DE MONTEARAGON</t>
  </si>
  <si>
    <t>CASAS DEL MAIPO RESERVA PINOT NOIR</t>
  </si>
  <si>
    <t>MORANGO</t>
  </si>
  <si>
    <t>LIMÃO</t>
  </si>
  <si>
    <t>PICOLE DE LIMÃO SORRISO</t>
  </si>
  <si>
    <t>C  O  N  T  A  G  E  M        E  S  T  O  Q  U  E</t>
  </si>
  <si>
    <t>POLPAS DE FRUTA</t>
  </si>
  <si>
    <t>PICOLÉS PARA DRINKS - SORRISO</t>
  </si>
  <si>
    <t>PICOLÉS KIBON</t>
  </si>
  <si>
    <t>BOMBONIERE</t>
  </si>
  <si>
    <t xml:space="preserve">ABACAXI </t>
  </si>
  <si>
    <t>FRUTAS - POR KG</t>
  </si>
  <si>
    <t>VINHOS E ESPUMANTES</t>
  </si>
  <si>
    <t>SEM ALCÓOL</t>
  </si>
  <si>
    <t>ÁGUA DE COCO</t>
  </si>
  <si>
    <t>ÁGUA SEM GAS</t>
  </si>
  <si>
    <t>ÁGUA TONICA</t>
  </si>
  <si>
    <t>ÁGUA TONICA ZERO</t>
  </si>
  <si>
    <t>ÁGUA COM GÁS</t>
  </si>
  <si>
    <t>GUARANÁ</t>
  </si>
  <si>
    <t xml:space="preserve">GUARANÁ ZERO </t>
  </si>
  <si>
    <t>ICE LIMÃO/SABORES</t>
  </si>
  <si>
    <t>RED BULL</t>
  </si>
  <si>
    <t>RED BULL ZERO</t>
  </si>
  <si>
    <t>CERVEJAS 600 ML</t>
  </si>
  <si>
    <t>CERVEJAS LONG NECK</t>
  </si>
  <si>
    <t>ÁGUA CACHOEIRINHA</t>
  </si>
  <si>
    <t>BRAHMA ZERO (SEM ALCOOL)</t>
  </si>
  <si>
    <t>CHOPP</t>
  </si>
  <si>
    <t>DESTILADOS EM GERAL</t>
  </si>
  <si>
    <t>COPOS PERSOLANIZADOS</t>
  </si>
  <si>
    <t>COPO TÉRMICO</t>
  </si>
  <si>
    <t>COPO KIDS - GERAL</t>
  </si>
  <si>
    <t>CAFÉ</t>
  </si>
  <si>
    <t>CAPSULA DE CAFÉ</t>
  </si>
  <si>
    <t>BAR 1</t>
  </si>
  <si>
    <t>BAR 2</t>
  </si>
  <si>
    <t xml:space="preserve">SUKITA / FANTA - LARANJA </t>
  </si>
  <si>
    <r>
      <t xml:space="preserve">SCHWEPPES </t>
    </r>
    <r>
      <rPr>
        <sz val="10"/>
        <rFont val="Arial Narrow"/>
        <family val="2"/>
      </rPr>
      <t>(DRINK) - LATA 310 ML</t>
    </r>
  </si>
  <si>
    <r>
      <t>TNT ENERGETICO</t>
    </r>
    <r>
      <rPr>
        <sz val="10"/>
        <rFont val="Arial Narrow"/>
        <family val="2"/>
      </rPr>
      <t xml:space="preserve"> (DRINK) - LATA 473 ML</t>
    </r>
  </si>
  <si>
    <t>GIN GORDON'S PINK</t>
  </si>
  <si>
    <t>GIN GORDON'S LEMON</t>
  </si>
  <si>
    <t>ML</t>
  </si>
  <si>
    <t>SAQUE LITRO</t>
  </si>
  <si>
    <r>
      <t xml:space="preserve">AMARULA </t>
    </r>
    <r>
      <rPr>
        <b/>
        <sz val="12"/>
        <rFont val="Arial Narrow"/>
        <family val="2"/>
      </rPr>
      <t>LITRO</t>
    </r>
  </si>
  <si>
    <r>
      <t xml:space="preserve">APEROL </t>
    </r>
    <r>
      <rPr>
        <b/>
        <sz val="12"/>
        <rFont val="Arial Narrow"/>
        <family val="2"/>
      </rPr>
      <t>LITRO</t>
    </r>
  </si>
  <si>
    <r>
      <t xml:space="preserve">CABARE EXTRA PREMIUM </t>
    </r>
    <r>
      <rPr>
        <b/>
        <sz val="12"/>
        <rFont val="Arial Narrow"/>
        <family val="2"/>
      </rPr>
      <t>LITRO</t>
    </r>
  </si>
  <si>
    <r>
      <t xml:space="preserve">CABARÉ OURO </t>
    </r>
    <r>
      <rPr>
        <b/>
        <sz val="12"/>
        <rFont val="Arial Narrow"/>
        <family val="2"/>
      </rPr>
      <t>LITRO</t>
    </r>
  </si>
  <si>
    <r>
      <t>CACHAÇA DOM TAPPARO</t>
    </r>
    <r>
      <rPr>
        <b/>
        <sz val="12"/>
        <rFont val="Arial Narrow"/>
        <family val="2"/>
      </rPr>
      <t xml:space="preserve"> LITRO</t>
    </r>
  </si>
  <si>
    <r>
      <t>CARPANO ROSSO</t>
    </r>
    <r>
      <rPr>
        <b/>
        <sz val="12"/>
        <rFont val="Arial Narrow"/>
        <family val="2"/>
      </rPr>
      <t xml:space="preserve"> LITRO</t>
    </r>
  </si>
  <si>
    <r>
      <t>COCONUT</t>
    </r>
    <r>
      <rPr>
        <b/>
        <sz val="12"/>
        <rFont val="Arial Narrow"/>
        <family val="2"/>
      </rPr>
      <t xml:space="preserve"> LITRO </t>
    </r>
  </si>
  <si>
    <r>
      <t xml:space="preserve">CURAÇAU BLUE </t>
    </r>
    <r>
      <rPr>
        <b/>
        <sz val="12"/>
        <rFont val="Arial Narrow"/>
        <family val="2"/>
      </rPr>
      <t>LITRO</t>
    </r>
  </si>
  <si>
    <r>
      <t xml:space="preserve">CURAÇAU FINO </t>
    </r>
    <r>
      <rPr>
        <b/>
        <sz val="12"/>
        <rFont val="Arial Narrow"/>
        <family val="2"/>
      </rPr>
      <t>LITRO</t>
    </r>
  </si>
  <si>
    <r>
      <t>GIN BEEFEATER</t>
    </r>
    <r>
      <rPr>
        <b/>
        <sz val="12"/>
        <rFont val="Arial Narrow"/>
        <family val="2"/>
      </rPr>
      <t xml:space="preserve"> LITRO</t>
    </r>
  </si>
  <si>
    <r>
      <t xml:space="preserve">LICOR 43 </t>
    </r>
    <r>
      <rPr>
        <b/>
        <sz val="12"/>
        <rFont val="Arial Narrow"/>
        <family val="2"/>
      </rPr>
      <t>LITRO</t>
    </r>
  </si>
  <si>
    <r>
      <t>XAROPE  MAÇA VERDE</t>
    </r>
    <r>
      <rPr>
        <b/>
        <sz val="12"/>
        <rFont val="Arial Narrow"/>
        <family val="2"/>
      </rPr>
      <t xml:space="preserve"> LITRO</t>
    </r>
    <r>
      <rPr>
        <sz val="12"/>
        <rFont val="Arial Narrow"/>
        <family val="2"/>
      </rPr>
      <t xml:space="preserve"> </t>
    </r>
  </si>
  <si>
    <r>
      <t xml:space="preserve">XAROPE CRANBERRY </t>
    </r>
    <r>
      <rPr>
        <b/>
        <sz val="12"/>
        <rFont val="Arial Narrow"/>
        <family val="2"/>
      </rPr>
      <t>LITRO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</si>
</sst>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2"/>
      <name val="Arial Narrow"/>
      <family val="2"/>
    </font>
    <font>
      <sz val="10"/>
      <name val="Arial Narrow"/>
      <family val="2"/>
    </font>
    <font>
      <sz val="9"/>
      <name val="Arial"/>
      <family val="2"/>
    </font>
    <font>
      <u/>
      <sz val="12"/>
      <name val="Arial"/>
      <family val="2"/>
    </font>
    <font>
      <b/>
      <u/>
      <sz val="12"/>
      <name val="Arial"/>
      <family val="2"/>
    </font>
    <font>
      <b/>
      <sz val="12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1" xfId="0" applyFont="1" applyBorder="1"/>
    <xf numFmtId="0" fontId="5" fillId="0" borderId="1" xfId="0" applyNumberFormat="1" applyFont="1" applyFill="1" applyBorder="1" applyAlignment="1" applyProtection="1">
      <alignment horizontal="left" vertical="top" wrapText="1"/>
    </xf>
    <xf numFmtId="0" fontId="5" fillId="0" borderId="1" xfId="0" applyFont="1" applyBorder="1"/>
    <xf numFmtId="0" fontId="5" fillId="0" borderId="0" xfId="0" applyNumberFormat="1" applyFont="1" applyFill="1" applyBorder="1" applyAlignment="1" applyProtection="1">
      <alignment horizontal="left" vertical="top" wrapText="1"/>
    </xf>
    <xf numFmtId="0" fontId="5" fillId="0" borderId="6" xfId="0" applyNumberFormat="1" applyFont="1" applyFill="1" applyBorder="1" applyAlignment="1" applyProtection="1">
      <alignment horizontal="left" vertical="top" wrapText="1"/>
    </xf>
    <xf numFmtId="0" fontId="3" fillId="0" borderId="0" xfId="0" applyFont="1" applyBorder="1" applyAlignment="1">
      <alignment horizontal="center" vertical="center"/>
    </xf>
    <xf numFmtId="0" fontId="6" fillId="0" borderId="5" xfId="0" applyNumberFormat="1" applyFont="1" applyFill="1" applyBorder="1" applyAlignment="1" applyProtection="1">
      <alignment horizontal="left" vertical="top" wrapText="1"/>
    </xf>
    <xf numFmtId="0" fontId="6" fillId="0" borderId="5" xfId="0" applyNumberFormat="1" applyFont="1" applyFill="1" applyBorder="1" applyAlignment="1" applyProtection="1">
      <alignment horizontal="left" vertical="top"/>
    </xf>
    <xf numFmtId="0" fontId="1" fillId="0" borderId="5" xfId="0" applyFont="1" applyBorder="1" applyAlignment="1">
      <alignment horizontal="left"/>
    </xf>
    <xf numFmtId="0" fontId="6" fillId="0" borderId="8" xfId="0" applyNumberFormat="1" applyFont="1" applyFill="1" applyBorder="1" applyAlignment="1" applyProtection="1">
      <alignment horizontal="left" vertical="top" wrapText="1"/>
    </xf>
    <xf numFmtId="0" fontId="1" fillId="0" borderId="0" xfId="0" applyFont="1" applyBorder="1"/>
    <xf numFmtId="0" fontId="3" fillId="0" borderId="7" xfId="0" applyNumberFormat="1" applyFont="1" applyFill="1" applyBorder="1" applyAlignment="1" applyProtection="1">
      <alignment horizontal="center" vertical="top"/>
    </xf>
    <xf numFmtId="0" fontId="3" fillId="0" borderId="1" xfId="0" applyNumberFormat="1" applyFont="1" applyFill="1" applyBorder="1" applyAlignment="1" applyProtection="1">
      <alignment horizontal="center" vertical="top"/>
    </xf>
    <xf numFmtId="0" fontId="1" fillId="0" borderId="6" xfId="0" applyFont="1" applyBorder="1"/>
    <xf numFmtId="0" fontId="1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top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3" fillId="0" borderId="0" xfId="0" applyNumberFormat="1" applyFont="1" applyBorder="1"/>
    <xf numFmtId="0" fontId="1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5" fillId="0" borderId="1" xfId="0" applyNumberFormat="1" applyFont="1" applyFill="1" applyBorder="1" applyAlignment="1" applyProtection="1">
      <alignment horizontal="left" vertical="top"/>
    </xf>
    <xf numFmtId="0" fontId="6" fillId="0" borderId="1" xfId="0" applyNumberFormat="1" applyFont="1" applyFill="1" applyBorder="1" applyAlignment="1" applyProtection="1">
      <alignment horizontal="left" vertical="top" wrapText="1"/>
    </xf>
    <xf numFmtId="0" fontId="8" fillId="0" borderId="0" xfId="0" applyFont="1" applyFill="1" applyBorder="1" applyAlignment="1">
      <alignment horizontal="center" vertical="center"/>
    </xf>
    <xf numFmtId="0" fontId="1" fillId="0" borderId="0" xfId="0" applyFont="1" applyFill="1" applyBorder="1"/>
    <xf numFmtId="0" fontId="6" fillId="0" borderId="6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6" fillId="0" borderId="3" xfId="0" applyNumberFormat="1" applyFont="1" applyFill="1" applyBorder="1" applyAlignment="1" applyProtection="1">
      <alignment horizontal="left" vertical="top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14" fontId="3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top" wrapText="1"/>
    </xf>
    <xf numFmtId="0" fontId="5" fillId="0" borderId="1" xfId="0" applyFont="1" applyBorder="1" applyAlignment="1">
      <alignment horizontal="center"/>
    </xf>
    <xf numFmtId="0" fontId="5" fillId="0" borderId="6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5" fillId="0" borderId="1" xfId="0" applyNumberFormat="1" applyFont="1" applyFill="1" applyBorder="1" applyAlignment="1" applyProtection="1">
      <alignment horizontal="center" vertical="top"/>
    </xf>
    <xf numFmtId="0" fontId="3" fillId="0" borderId="0" xfId="0" applyNumberFormat="1" applyFont="1" applyBorder="1" applyAlignment="1"/>
    <xf numFmtId="0" fontId="1" fillId="0" borderId="0" xfId="0" applyFont="1" applyBorder="1" applyAlignment="1"/>
    <xf numFmtId="0" fontId="6" fillId="0" borderId="1" xfId="0" applyNumberFormat="1" applyFont="1" applyFill="1" applyBorder="1" applyAlignment="1" applyProtection="1">
      <alignment horizontal="left" vertical="top"/>
    </xf>
    <xf numFmtId="0" fontId="6" fillId="0" borderId="3" xfId="0" applyNumberFormat="1" applyFont="1" applyFill="1" applyBorder="1" applyAlignment="1" applyProtection="1">
      <alignment horizontal="left" vertical="top"/>
    </xf>
    <xf numFmtId="0" fontId="5" fillId="0" borderId="3" xfId="0" applyNumberFormat="1" applyFont="1" applyFill="1" applyBorder="1" applyAlignment="1" applyProtection="1">
      <alignment horizontal="left" vertical="top"/>
    </xf>
    <xf numFmtId="0" fontId="1" fillId="0" borderId="3" xfId="0" applyFont="1" applyBorder="1" applyAlignment="1"/>
    <xf numFmtId="0" fontId="3" fillId="0" borderId="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14" fontId="3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1" fillId="0" borderId="3" xfId="0" applyFont="1" applyFill="1" applyBorder="1"/>
    <xf numFmtId="0" fontId="1" fillId="0" borderId="3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123">
    <dxf>
      <font>
        <b val="0"/>
        <family val="2"/>
      </font>
      <numFmt numFmtId="0" formatCode="General"/>
    </dxf>
    <dxf>
      <font>
        <b val="0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family val="2"/>
      </font>
      <numFmt numFmtId="0" formatCode="General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family val="2"/>
      </font>
      <numFmt numFmtId="0" formatCode="General"/>
    </dxf>
    <dxf>
      <font>
        <b val="0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family val="2"/>
      </font>
      <numFmt numFmtId="0" formatCode="General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family val="2"/>
      </font>
      <numFmt numFmtId="0" formatCode="General"/>
    </dxf>
    <dxf>
      <font>
        <b val="0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family val="2"/>
      </font>
      <numFmt numFmtId="0" formatCode="General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family val="2"/>
      </font>
      <numFmt numFmtId="0" formatCode="General"/>
    </dxf>
    <dxf>
      <font>
        <b val="0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family val="2"/>
      </font>
      <numFmt numFmtId="0" formatCode="General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family val="2"/>
      </font>
      <numFmt numFmtId="0" formatCode="General"/>
    </dxf>
    <dxf>
      <font>
        <b val="0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family val="2"/>
      </font>
      <numFmt numFmtId="0" formatCode="General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family val="2"/>
      </font>
      <numFmt numFmtId="0" formatCode="General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family val="2"/>
      </font>
      <numFmt numFmtId="0" formatCode="General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family val="2"/>
      </font>
      <numFmt numFmtId="0" formatCode="General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family val="2"/>
      </font>
      <numFmt numFmtId="0" formatCode="General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family val="2"/>
      </font>
      <numFmt numFmtId="0" formatCode="General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family val="2"/>
      </font>
      <numFmt numFmtId="0" formatCode="General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family val="2"/>
      </font>
      <numFmt numFmtId="0" formatCode="General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family val="2"/>
      </font>
      <numFmt numFmtId="0" formatCode="General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333333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E7F2FE"/>
      <rgbColor rgb="00637FC4"/>
      <rgbColor rgb="00C1D8F7"/>
      <rgbColor rgb="00DDECFE"/>
      <rgbColor rgb="00D4D0C8"/>
      <rgbColor rgb="0000008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8355F4-E32B-4B69-B4CA-5E5ECCA1F9EE}" name="Tabela13" displayName="Tabela13" ref="A10:D17" totalsRowShown="0" headerRowDxfId="122" dataDxfId="120" headerRowBorderDxfId="121" tableBorderDxfId="119" totalsRowBorderDxfId="118">
  <sortState ref="A11:D17">
    <sortCondition ref="B11"/>
  </sortState>
  <tableColumns count="4">
    <tableColumn id="1" xr3:uid="{18A0504B-9CBC-4A8E-8189-88F0756D4A1D}" name="COD" dataDxfId="117"/>
    <tableColumn id="2" xr3:uid="{C65C983B-1F87-4CB9-A354-FF50DBB5EA51}" name="PRODUTO" dataDxfId="116"/>
    <tableColumn id="3" xr3:uid="{4DBAF17E-5495-44DB-8E9F-17EDC5F8443A}" name="QUANTIDADE" dataDxfId="115"/>
    <tableColumn id="4" xr3:uid="{14AC845F-A158-4720-B901-FC16476D308D}" name="TOTAL" dataDxfId="114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A70FA14-C525-4619-A830-9F825E41FF65}" name="Tabela135" displayName="Tabela135" ref="A25:D28" totalsRowShown="0" headerRowDxfId="113" dataDxfId="111" headerRowBorderDxfId="112" tableBorderDxfId="110" totalsRowBorderDxfId="109">
  <sortState ref="A26:D28">
    <sortCondition ref="B26"/>
  </sortState>
  <tableColumns count="4">
    <tableColumn id="1" xr3:uid="{A5B35394-57AE-437A-8D09-83714A6E317D}" name="COD" dataDxfId="108"/>
    <tableColumn id="2" xr3:uid="{EF422D63-F68F-4D5A-8AAF-5E7E066617B6}" name="PRODUTO" dataDxfId="107"/>
    <tableColumn id="3" xr3:uid="{404468C6-495E-43D2-9949-0FB4A7300EDF}" name="QUANTIDADE" dataDxfId="106"/>
    <tableColumn id="4" xr3:uid="{C59C7323-9F18-44A1-9FBC-C1A727728803}" name="TOTAL" dataDxfId="105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5AE718-7640-4116-A980-0902A31CCAC4}" name="Tabela1352" displayName="Tabela1352" ref="A36:D40" totalsRowShown="0" headerRowDxfId="104" dataDxfId="102" headerRowBorderDxfId="103" tableBorderDxfId="101" totalsRowBorderDxfId="100">
  <sortState ref="A37:D40">
    <sortCondition ref="B26"/>
  </sortState>
  <tableColumns count="4">
    <tableColumn id="1" xr3:uid="{46293768-2EBF-45DD-A258-FC2F27C2510B}" name="COD" dataDxfId="99"/>
    <tableColumn id="2" xr3:uid="{FD3B2D7B-C64D-4D64-8EC5-2E2BCF356483}" name="PRODUTO" dataDxfId="98"/>
    <tableColumn id="3" xr3:uid="{29DF6794-4737-49D3-BEE4-A63A4C91DAEE}" name="QUANTIDADE" dataDxfId="97"/>
    <tableColumn id="4" xr3:uid="{B2A5E1F9-32A7-46ED-A662-651F244A3B0B}" name="TOTAL" dataDxfId="96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3F5247E-2FAC-4C11-8FD2-BD7D31640B3B}" name="Tabela13524" displayName="Tabela13524" ref="A48:D51" totalsRowShown="0" headerRowDxfId="95" dataDxfId="93" headerRowBorderDxfId="94" tableBorderDxfId="92" totalsRowBorderDxfId="91">
  <sortState ref="A49:D51">
    <sortCondition ref="B26"/>
  </sortState>
  <tableColumns count="4">
    <tableColumn id="1" xr3:uid="{5AAF84A4-14F0-4DFA-935E-7BA7FF7948C6}" name="COD" dataDxfId="90"/>
    <tableColumn id="2" xr3:uid="{ACC95580-81C6-4570-A4E6-5428239CE4DD}" name="PRODUTO" dataDxfId="89"/>
    <tableColumn id="3" xr3:uid="{A485D1BD-D95B-407A-A1FE-6FE3C1582E04}" name="QUANTIDADE" dataDxfId="88"/>
    <tableColumn id="4" xr3:uid="{1E857277-EC5E-4D59-A79A-8A3810A6EBCF}" name="TOTAL" dataDxfId="87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9E0D494-71D3-4F4C-B8EF-FC159B3A6760}" name="Tabela1379" displayName="Tabela1379" ref="A10:D17" totalsRowShown="0" headerRowDxfId="86" dataDxfId="84" headerRowBorderDxfId="85" tableBorderDxfId="83" totalsRowBorderDxfId="82">
  <sortState ref="A11:D17">
    <sortCondition ref="B11"/>
  </sortState>
  <tableColumns count="4">
    <tableColumn id="1" xr3:uid="{740C5C1D-D606-41C2-953F-30FCC8A3B5B1}" name="COD" dataDxfId="81"/>
    <tableColumn id="2" xr3:uid="{E6FDFFCE-019F-4153-8CD9-1D00A302400D}" name="PRODUTO" dataDxfId="80"/>
    <tableColumn id="3" xr3:uid="{014CEB00-1E77-4B57-8DE6-18E07F978AC9}" name="QUANTIDADE" dataDxfId="79"/>
    <tableColumn id="4" xr3:uid="{017296D1-B4C6-4AA9-AD44-D35E62EB2949}" name="TOTAL" dataDxfId="78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3216B7B-7E12-4B32-A378-91555ED5C2BA}" name="Tabela137910" displayName="Tabela137910" ref="A25:D36" totalsRowShown="0" headerRowDxfId="77" dataDxfId="75" headerRowBorderDxfId="76" tableBorderDxfId="74" totalsRowBorderDxfId="73">
  <sortState ref="A26:D58">
    <sortCondition ref="B10:B45"/>
  </sortState>
  <tableColumns count="4">
    <tableColumn id="1" xr3:uid="{084FABFE-0F0D-45C4-9E60-609A70832A15}" name="COD" dataDxfId="72"/>
    <tableColumn id="2" xr3:uid="{224DE3C1-6E16-4C79-9626-DCAE287ECA71}" name="PRODUTO" dataDxfId="71"/>
    <tableColumn id="3" xr3:uid="{DBC7F8F2-E217-4093-A198-5F2A48EC721E}" name="QUANTIDADE" dataDxfId="70"/>
    <tableColumn id="4" xr3:uid="{1CA11B7E-A2F0-49C5-99A0-06342FB8A30C}" name="TOTAL" dataDxfId="69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95E9E99-E5EF-44DD-BEDE-C9FCDE5FAE42}" name="Tabela13791011" displayName="Tabela13791011" ref="A44:D48" totalsRowShown="0" headerRowDxfId="68" dataDxfId="66" headerRowBorderDxfId="67" tableBorderDxfId="65" totalsRowBorderDxfId="64">
  <tableColumns count="4">
    <tableColumn id="1" xr3:uid="{6C431555-3CFB-4B5F-9490-FAE6364C1888}" name="COD" dataDxfId="63"/>
    <tableColumn id="2" xr3:uid="{01B798CC-5AE8-4DDF-B068-43BE18131118}" name="PRODUTO" dataDxfId="62"/>
    <tableColumn id="3" xr3:uid="{261B5E48-C10D-47F8-85C6-EF50056CBFAC}" name="QUANTIDADE" dataDxfId="61"/>
    <tableColumn id="4" xr3:uid="{702C8B68-BD6F-426C-8E65-D490D38283FB}" name="TOTAL" dataDxfId="60"/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F43E7D7-624E-46CE-A807-59F622658EB1}" name="Tabela137" displayName="Tabela137" ref="A10:D41" totalsRowShown="0" headerRowDxfId="59" dataDxfId="57" headerRowBorderDxfId="58" tableBorderDxfId="56" totalsRowBorderDxfId="55">
  <autoFilter ref="A10:D41" xr:uid="{8FD427B7-DD39-4F7E-9D7D-89606B175793}"/>
  <sortState ref="A11:D41">
    <sortCondition ref="B10:B41"/>
  </sortState>
  <tableColumns count="4">
    <tableColumn id="1" xr3:uid="{378374E7-B82D-4D6D-95B8-A42E171F0305}" name="COD" dataDxfId="54"/>
    <tableColumn id="2" xr3:uid="{D6ADF235-2B3E-4E6D-AEB0-70646605527C}" name="PRODUTO" dataDxfId="53"/>
    <tableColumn id="3" xr3:uid="{CFC83791-925F-4E23-888B-757576360E47}" name="QUANTIDADE" dataDxfId="52">
      <calculatedColumnFormula>3+1+5</calculatedColumnFormula>
    </tableColumn>
    <tableColumn id="4" xr3:uid="{FE405773-6485-4799-9809-993F12CD41B6}" name="TOTAL" dataDxfId="51"/>
  </tableColumns>
  <tableStyleInfo name="TableStyleMedium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323E557-7BE0-4EA6-9C91-2049AD4A0E2D}" name="Tabela112" displayName="Tabela112" ref="A10:F53" totalsRowShown="0" headerRowDxfId="50" dataDxfId="48" headerRowBorderDxfId="49" tableBorderDxfId="47" totalsRowBorderDxfId="46">
  <tableColumns count="6">
    <tableColumn id="1" xr3:uid="{E26184F3-BF3B-45C0-ABC1-B11CC628153F}" name="COD" dataDxfId="45"/>
    <tableColumn id="2" xr3:uid="{281C96E1-4022-47F4-8E06-1A257DD22CDF}" name="PRODUTO" dataDxfId="44"/>
    <tableColumn id="6" xr3:uid="{87614022-72C5-498D-8EE3-72C974966538}" name="ML" dataDxfId="43"/>
    <tableColumn id="3" xr3:uid="{A90C2D49-FB16-42BF-AC47-3C2C4C608C15}" name="GARRAFA" dataDxfId="42"/>
    <tableColumn id="4" xr3:uid="{9E4C0C1B-D5BD-4103-9493-762C2315C88D}" name="DOSE" dataDxfId="41"/>
    <tableColumn id="5" xr3:uid="{287BD891-55AF-450A-9018-877ABAF32315}" name="TOTAL" dataDxfId="40">
      <calculatedColumnFormula>Tabela112[[#This Row],[GARRAFA]]+Tabela112[[#This Row],[DOSE]]</calculatedColumnFormula>
    </tableColumn>
  </tableColumns>
  <tableStyleInfo name="TableStyleMedium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46B68F9-1E70-4D48-8E70-05BBE12F5B07}" name="Tabela11213" displayName="Tabela11213" ref="A10:E30" totalsRowShown="0" headerRowDxfId="39" dataDxfId="37" headerRowBorderDxfId="38" tableBorderDxfId="36" totalsRowBorderDxfId="35">
  <autoFilter ref="A10:E30" xr:uid="{00000000-0009-0000-0100-000001000000}"/>
  <sortState ref="A11:E30">
    <sortCondition ref="B10:B30"/>
  </sortState>
  <tableColumns count="5">
    <tableColumn id="1" xr3:uid="{F6802CD5-2A9E-423E-A566-283F760850A0}" name="COD" dataDxfId="34"/>
    <tableColumn id="2" xr3:uid="{AAB34EBD-314A-41A4-B23B-494714EAB007}" name="PRODUTO" dataDxfId="33"/>
    <tableColumn id="3" xr3:uid="{5D06E044-5D7E-41D9-8207-147E518B2720}" name="BAR 1" dataDxfId="32"/>
    <tableColumn id="4" xr3:uid="{98D061CF-472E-4EB8-8A8C-7B39F4F18844}" name="BAR 2" dataDxfId="31"/>
    <tableColumn id="5" xr3:uid="{DBA5D87E-2D6A-4B53-9C8F-182A325D9957}" name="TOTAL" dataDxfId="30">
      <calculatedColumnFormula>Tabela11213[[#This Row],[BAR 1]]+Tabela11213[[#This Row],[BAR 2]]</calculatedColumnFormula>
    </tableColumn>
  </tableColumns>
  <tableStyleInfo name="TableStyleMedium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B3801C3-31E3-4CCB-9AB1-6B6474EB4F65}" name="Tabela112131418" displayName="Tabela112131418" ref="A10:E19" totalsRowShown="0" headerRowDxfId="29" dataDxfId="27" headerRowBorderDxfId="28" tableBorderDxfId="26" totalsRowBorderDxfId="25">
  <autoFilter ref="A10:E19" xr:uid="{02232A3C-DEBA-4222-86F7-258DBFB57033}"/>
  <sortState ref="A11:E31">
    <sortCondition ref="B10:B31"/>
  </sortState>
  <tableColumns count="5">
    <tableColumn id="1" xr3:uid="{5DE9A43B-CFB1-4246-9B83-70491A8B544E}" name="COD" dataDxfId="24"/>
    <tableColumn id="2" xr3:uid="{55BBEC7C-9B62-4C45-AB4A-F145342D3F27}" name="PRODUTO" dataDxfId="23"/>
    <tableColumn id="3" xr3:uid="{60DFE669-6016-4D7C-9B4B-FA5520367178}" name="BAR 1" dataDxfId="22"/>
    <tableColumn id="4" xr3:uid="{6B0C9877-6A7A-4ADA-9AE0-F6BCAEC3C884}" name="BAR 2" dataDxfId="21"/>
    <tableColumn id="5" xr3:uid="{DD199924-DB3C-43E7-A6F9-5B33F40905D9}" name="TOTAL" dataDxfId="20">
      <calculatedColumnFormula>Tabela112131418[[#This Row],[BAR 1]]+Tabela112131418[[#This Row],[BAR 2]]</calculatedColumnFormula>
    </tableColumn>
  </tableColumns>
  <tableStyleInfo name="TableStyleMedium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F7B7675-7ADE-47E0-819D-CA60B3D3C720}" name="Tabela11213141519" displayName="Tabela11213141519" ref="A23:E31" totalsRowShown="0" headerRowDxfId="19" dataDxfId="17" headerRowBorderDxfId="18" tableBorderDxfId="16" totalsRowBorderDxfId="15">
  <autoFilter ref="A23:E31" xr:uid="{53EB3E38-22F8-461D-9010-FC489232A738}"/>
  <sortState ref="A24:E43">
    <sortCondition ref="B10:B28"/>
  </sortState>
  <tableColumns count="5">
    <tableColumn id="1" xr3:uid="{4CEBB78A-A5C7-4555-99D9-93D21A46F4F7}" name="COD" dataDxfId="14"/>
    <tableColumn id="2" xr3:uid="{F9B4CF69-50A4-4DD8-82CF-562AF1A5339A}" name="PRODUTO" dataDxfId="13"/>
    <tableColumn id="3" xr3:uid="{3CA4D507-87B5-40F1-8AE4-DAC77AFF8515}" name="BAR 1" dataDxfId="12"/>
    <tableColumn id="4" xr3:uid="{09EF2277-CAED-4DE0-AB7B-B6A09C85A3CD}" name="BAR 2" dataDxfId="11"/>
    <tableColumn id="5" xr3:uid="{89E4B977-9D8A-482E-BB2D-6BE66D1A2607}" name="TOTAL" dataDxfId="10">
      <calculatedColumnFormula>Tabela11213141519[[#This Row],[BAR 1]]+Tabela11213141519[[#This Row],[BAR 2]]</calculatedColumnFormula>
    </tableColumn>
  </tableColumns>
  <tableStyleInfo name="TableStyleMedium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74E216B3-F2A7-4554-885F-49F6EF16BBFE}" name="Tabela1121314151620" displayName="Tabela1121314151620" ref="A39:E45" totalsRowShown="0" headerRowDxfId="9" dataDxfId="7" headerRowBorderDxfId="8" tableBorderDxfId="6" totalsRowBorderDxfId="5">
  <autoFilter ref="A39:E45" xr:uid="{18F8BC89-0D52-42D9-9879-E7CE9E1EAABB}"/>
  <sortState ref="A40:E57">
    <sortCondition ref="B10:B28"/>
  </sortState>
  <tableColumns count="5">
    <tableColumn id="1" xr3:uid="{AFB6EE48-1775-4092-B2F0-8A03609BA1FB}" name="COD" dataDxfId="4"/>
    <tableColumn id="2" xr3:uid="{E75EDBA0-FF6A-4DFB-908F-43876F18BDA9}" name="PRODUTO" dataDxfId="3"/>
    <tableColumn id="3" xr3:uid="{E1013CC1-0C48-4F31-A063-B2013EB95B13}" name="BAR 1" dataDxfId="2"/>
    <tableColumn id="4" xr3:uid="{B6DC684A-5047-4F47-A52D-FB31F6376B1F}" name="BAR 2" dataDxfId="1"/>
    <tableColumn id="5" xr3:uid="{86AAB31A-FC06-4738-AF82-3BA1D7DAA9EA}" name="TOTAL" dataDxfId="0">
      <calculatedColumnFormula>Tabela1121314151620[[#This Row],[BAR 1]]+Tabela1121314151620[[#This Row],[BAR 2]]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7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6.bin"/><Relationship Id="rId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F86C8-180C-4291-8274-9DDDF7888C72}">
  <dimension ref="A1:J51"/>
  <sheetViews>
    <sheetView workbookViewId="0">
      <selection activeCell="B6" sqref="B6:D6"/>
    </sheetView>
  </sheetViews>
  <sheetFormatPr defaultRowHeight="12.75" x14ac:dyDescent="0.2"/>
  <cols>
    <col min="1" max="1" width="6.28515625" style="11" customWidth="1"/>
    <col min="2" max="2" width="36.28515625" style="11" customWidth="1"/>
    <col min="3" max="3" width="29.7109375" style="11" customWidth="1"/>
    <col min="4" max="4" width="29.7109375" style="23" customWidth="1"/>
    <col min="5" max="16384" width="9.140625" style="11"/>
  </cols>
  <sheetData>
    <row r="1" spans="1:10" ht="22.5" customHeight="1" x14ac:dyDescent="0.2">
      <c r="A1" s="64" t="s">
        <v>102</v>
      </c>
      <c r="B1" s="64"/>
      <c r="C1" s="64"/>
      <c r="D1" s="64"/>
    </row>
    <row r="2" spans="1:10" ht="12" customHeight="1" x14ac:dyDescent="0.2">
      <c r="A2" s="24"/>
      <c r="B2" s="24"/>
      <c r="C2" s="24"/>
      <c r="D2" s="24"/>
    </row>
    <row r="3" spans="1:10" ht="22.5" customHeight="1" x14ac:dyDescent="0.2">
      <c r="A3" s="65" t="s">
        <v>112</v>
      </c>
      <c r="B3" s="65"/>
      <c r="C3" s="65"/>
      <c r="D3" s="65"/>
    </row>
    <row r="4" spans="1:10" s="28" customFormat="1" ht="12" customHeight="1" x14ac:dyDescent="0.2">
      <c r="A4" s="27"/>
      <c r="B4" s="27"/>
      <c r="C4" s="27"/>
      <c r="D4" s="27"/>
    </row>
    <row r="5" spans="1:10" ht="12" customHeight="1" x14ac:dyDescent="0.2">
      <c r="A5" s="15"/>
      <c r="B5" s="16" t="s">
        <v>104</v>
      </c>
      <c r="C5" s="16" t="s">
        <v>46</v>
      </c>
      <c r="D5" s="16" t="s">
        <v>103</v>
      </c>
    </row>
    <row r="6" spans="1:10" ht="21" customHeight="1" x14ac:dyDescent="0.2">
      <c r="A6" s="15"/>
      <c r="B6" s="51"/>
      <c r="C6" s="36"/>
      <c r="D6" s="51"/>
      <c r="J6" s="35"/>
    </row>
    <row r="7" spans="1:10" ht="12" customHeight="1" x14ac:dyDescent="0.2">
      <c r="A7" s="15"/>
      <c r="B7" s="6"/>
      <c r="C7" s="6"/>
      <c r="D7" s="6"/>
    </row>
    <row r="8" spans="1:10" ht="22.5" customHeight="1" x14ac:dyDescent="0.2">
      <c r="A8" s="66" t="s">
        <v>115</v>
      </c>
      <c r="B8" s="66"/>
      <c r="C8" s="66"/>
      <c r="D8" s="66"/>
    </row>
    <row r="9" spans="1:10" ht="12" customHeight="1" x14ac:dyDescent="0.2">
      <c r="A9" s="30"/>
      <c r="B9" s="4"/>
    </row>
    <row r="10" spans="1:10" ht="15" x14ac:dyDescent="0.2">
      <c r="A10" s="17" t="s">
        <v>31</v>
      </c>
      <c r="B10" s="12" t="s">
        <v>32</v>
      </c>
      <c r="C10" s="12" t="s">
        <v>47</v>
      </c>
      <c r="D10" s="12" t="s">
        <v>100</v>
      </c>
    </row>
    <row r="11" spans="1:10" ht="15.75" x14ac:dyDescent="0.2">
      <c r="A11" s="7">
        <v>16788</v>
      </c>
      <c r="B11" s="2" t="s">
        <v>21</v>
      </c>
      <c r="C11" s="18"/>
      <c r="D11" s="18"/>
    </row>
    <row r="12" spans="1:10" ht="15.75" x14ac:dyDescent="0.2">
      <c r="A12" s="7">
        <v>16787</v>
      </c>
      <c r="B12" s="2" t="s">
        <v>23</v>
      </c>
      <c r="C12" s="18"/>
      <c r="D12" s="18"/>
    </row>
    <row r="13" spans="1:10" ht="15.75" x14ac:dyDescent="0.2">
      <c r="A13" s="7">
        <v>167811</v>
      </c>
      <c r="B13" s="2" t="s">
        <v>22</v>
      </c>
      <c r="C13" s="18"/>
      <c r="D13" s="18"/>
    </row>
    <row r="14" spans="1:10" ht="15.75" x14ac:dyDescent="0.2">
      <c r="A14" s="7">
        <v>448</v>
      </c>
      <c r="B14" s="2" t="s">
        <v>35</v>
      </c>
      <c r="C14" s="56"/>
      <c r="D14" s="56"/>
    </row>
    <row r="15" spans="1:10" ht="15.75" x14ac:dyDescent="0.2">
      <c r="A15" s="7">
        <v>16784</v>
      </c>
      <c r="B15" s="2" t="s">
        <v>24</v>
      </c>
      <c r="C15" s="56"/>
      <c r="D15" s="56"/>
    </row>
    <row r="16" spans="1:10" ht="15.75" x14ac:dyDescent="0.2">
      <c r="A16" s="7">
        <v>167819</v>
      </c>
      <c r="B16" s="2" t="s">
        <v>18</v>
      </c>
      <c r="C16" s="56"/>
      <c r="D16" s="56"/>
    </row>
    <row r="17" spans="1:4" ht="15.75" x14ac:dyDescent="0.2">
      <c r="A17" s="7">
        <v>16789</v>
      </c>
      <c r="B17" s="2" t="s">
        <v>25</v>
      </c>
      <c r="C17" s="18"/>
      <c r="D17" s="18"/>
    </row>
    <row r="18" spans="1:4" ht="16.5" customHeight="1" x14ac:dyDescent="0.2">
      <c r="A18" s="31"/>
      <c r="B18" s="32"/>
      <c r="C18" s="33"/>
      <c r="D18" s="34"/>
    </row>
    <row r="19" spans="1:4" s="46" customFormat="1" ht="16.5" customHeight="1" x14ac:dyDescent="0.2">
      <c r="A19" s="48"/>
      <c r="B19" s="49"/>
      <c r="C19" s="50"/>
      <c r="D19" s="34"/>
    </row>
    <row r="20" spans="1:4" ht="15.75" x14ac:dyDescent="0.2">
      <c r="A20" s="31"/>
      <c r="B20" s="32"/>
      <c r="C20" s="33"/>
      <c r="D20" s="34"/>
    </row>
    <row r="21" spans="1:4" ht="15.75" x14ac:dyDescent="0.2">
      <c r="A21" s="30"/>
      <c r="B21" s="4"/>
    </row>
    <row r="22" spans="1:4" ht="15.75" x14ac:dyDescent="0.2">
      <c r="A22" s="30"/>
      <c r="B22" s="4"/>
    </row>
    <row r="23" spans="1:4" ht="22.5" customHeight="1" x14ac:dyDescent="0.2">
      <c r="A23" s="66" t="s">
        <v>116</v>
      </c>
      <c r="B23" s="66"/>
      <c r="C23" s="66"/>
      <c r="D23" s="66"/>
    </row>
    <row r="24" spans="1:4" s="28" customFormat="1" ht="12" customHeight="1" x14ac:dyDescent="0.2">
      <c r="A24" s="27"/>
      <c r="B24" s="27"/>
      <c r="C24" s="27"/>
      <c r="D24" s="27"/>
    </row>
    <row r="25" spans="1:4" ht="15" x14ac:dyDescent="0.2">
      <c r="A25" s="17" t="s">
        <v>31</v>
      </c>
      <c r="B25" s="12" t="s">
        <v>32</v>
      </c>
      <c r="C25" s="12" t="s">
        <v>47</v>
      </c>
      <c r="D25" s="12" t="s">
        <v>100</v>
      </c>
    </row>
    <row r="26" spans="1:4" ht="15.75" x14ac:dyDescent="0.2">
      <c r="A26" s="7">
        <v>424</v>
      </c>
      <c r="B26" s="2" t="s">
        <v>27</v>
      </c>
      <c r="C26" s="18"/>
      <c r="D26" s="18"/>
    </row>
    <row r="27" spans="1:4" ht="15.75" x14ac:dyDescent="0.2">
      <c r="A27" s="7">
        <v>411</v>
      </c>
      <c r="B27" s="2" t="s">
        <v>9</v>
      </c>
      <c r="C27" s="18"/>
      <c r="D27" s="18"/>
    </row>
    <row r="28" spans="1:4" ht="15.75" x14ac:dyDescent="0.2">
      <c r="A28" s="7">
        <v>410</v>
      </c>
      <c r="B28" s="2" t="s">
        <v>10</v>
      </c>
      <c r="C28" s="18"/>
      <c r="D28" s="18"/>
    </row>
    <row r="29" spans="1:4" ht="16.5" customHeight="1" x14ac:dyDescent="0.2">
      <c r="A29" s="31"/>
      <c r="B29" s="32"/>
      <c r="C29" s="33"/>
      <c r="D29" s="34"/>
    </row>
    <row r="30" spans="1:4" ht="16.5" customHeight="1" x14ac:dyDescent="0.2">
      <c r="A30" s="31"/>
      <c r="B30" s="32"/>
      <c r="C30" s="33"/>
      <c r="D30" s="34"/>
    </row>
    <row r="31" spans="1:4" ht="15.75" x14ac:dyDescent="0.2">
      <c r="A31" s="31"/>
      <c r="B31" s="32"/>
      <c r="C31" s="33"/>
      <c r="D31" s="34"/>
    </row>
    <row r="32" spans="1:4" ht="15.75" x14ac:dyDescent="0.2">
      <c r="A32" s="30"/>
      <c r="B32" s="4"/>
    </row>
    <row r="33" spans="1:4" ht="15.75" x14ac:dyDescent="0.2">
      <c r="A33" s="30"/>
      <c r="B33" s="4"/>
    </row>
    <row r="34" spans="1:4" ht="22.5" customHeight="1" x14ac:dyDescent="0.2">
      <c r="A34" s="66" t="s">
        <v>137</v>
      </c>
      <c r="B34" s="66"/>
      <c r="C34" s="66"/>
      <c r="D34" s="66"/>
    </row>
    <row r="35" spans="1:4" s="28" customFormat="1" ht="12" customHeight="1" x14ac:dyDescent="0.2">
      <c r="A35" s="27"/>
      <c r="B35" s="27"/>
      <c r="C35" s="27"/>
      <c r="D35" s="27"/>
    </row>
    <row r="36" spans="1:4" ht="15" x14ac:dyDescent="0.2">
      <c r="A36" s="17" t="s">
        <v>31</v>
      </c>
      <c r="B36" s="12" t="s">
        <v>32</v>
      </c>
      <c r="C36" s="12" t="s">
        <v>47</v>
      </c>
      <c r="D36" s="12" t="s">
        <v>100</v>
      </c>
    </row>
    <row r="37" spans="1:4" ht="15.75" x14ac:dyDescent="0.2">
      <c r="A37" s="7"/>
      <c r="B37" s="2" t="s">
        <v>139</v>
      </c>
      <c r="C37" s="56"/>
      <c r="D37" s="56"/>
    </row>
    <row r="38" spans="1:4" ht="15.75" x14ac:dyDescent="0.2">
      <c r="A38" s="7"/>
      <c r="B38" s="2" t="s">
        <v>138</v>
      </c>
      <c r="C38" s="56"/>
      <c r="D38" s="56"/>
    </row>
    <row r="39" spans="1:4" ht="15.75" x14ac:dyDescent="0.2">
      <c r="A39" s="7"/>
      <c r="B39" s="2"/>
      <c r="C39" s="18"/>
      <c r="D39" s="18"/>
    </row>
    <row r="40" spans="1:4" ht="15.75" x14ac:dyDescent="0.2">
      <c r="A40" s="7"/>
      <c r="B40" s="2"/>
      <c r="C40" s="18"/>
      <c r="D40" s="18"/>
    </row>
    <row r="41" spans="1:4" ht="16.5" customHeight="1" x14ac:dyDescent="0.2">
      <c r="A41" s="31"/>
      <c r="B41" s="32"/>
      <c r="C41" s="33"/>
      <c r="D41" s="34"/>
    </row>
    <row r="42" spans="1:4" ht="16.5" customHeight="1" x14ac:dyDescent="0.2">
      <c r="A42" s="31"/>
      <c r="B42" s="32"/>
      <c r="C42" s="33"/>
      <c r="D42" s="34"/>
    </row>
    <row r="43" spans="1:4" ht="16.5" customHeight="1" x14ac:dyDescent="0.2">
      <c r="A43" s="31"/>
      <c r="B43" s="32"/>
      <c r="C43" s="33"/>
      <c r="D43" s="34"/>
    </row>
    <row r="44" spans="1:4" ht="15.75" x14ac:dyDescent="0.2">
      <c r="A44" s="30"/>
      <c r="B44" s="4"/>
    </row>
    <row r="45" spans="1:4" ht="15.75" x14ac:dyDescent="0.2">
      <c r="A45" s="31"/>
      <c r="B45" s="32"/>
      <c r="C45" s="33"/>
      <c r="D45" s="34"/>
    </row>
    <row r="46" spans="1:4" ht="22.5" customHeight="1" x14ac:dyDescent="0.2">
      <c r="A46" s="66" t="s">
        <v>140</v>
      </c>
      <c r="B46" s="66"/>
      <c r="C46" s="66"/>
      <c r="D46" s="66"/>
    </row>
    <row r="47" spans="1:4" s="28" customFormat="1" ht="12" customHeight="1" x14ac:dyDescent="0.2">
      <c r="A47" s="27"/>
      <c r="B47" s="27"/>
      <c r="C47" s="27"/>
      <c r="D47" s="27"/>
    </row>
    <row r="48" spans="1:4" ht="15" x14ac:dyDescent="0.2">
      <c r="A48" s="17" t="s">
        <v>31</v>
      </c>
      <c r="B48" s="12" t="s">
        <v>32</v>
      </c>
      <c r="C48" s="12" t="s">
        <v>47</v>
      </c>
      <c r="D48" s="12" t="s">
        <v>100</v>
      </c>
    </row>
    <row r="49" spans="1:4" ht="15.75" x14ac:dyDescent="0.2">
      <c r="A49" s="7"/>
      <c r="B49" s="2" t="s">
        <v>141</v>
      </c>
      <c r="C49" s="56"/>
      <c r="D49" s="56"/>
    </row>
    <row r="50" spans="1:4" ht="15.75" x14ac:dyDescent="0.2">
      <c r="A50" s="7"/>
      <c r="B50" s="2"/>
      <c r="C50" s="18"/>
      <c r="D50" s="18"/>
    </row>
    <row r="51" spans="1:4" ht="15.75" x14ac:dyDescent="0.2">
      <c r="A51" s="7"/>
      <c r="B51" s="2"/>
      <c r="C51" s="18"/>
      <c r="D51" s="18"/>
    </row>
  </sheetData>
  <mergeCells count="6">
    <mergeCell ref="A46:D46"/>
    <mergeCell ref="A8:D8"/>
    <mergeCell ref="A23:D23"/>
    <mergeCell ref="A1:D1"/>
    <mergeCell ref="A3:D3"/>
    <mergeCell ref="A34:D34"/>
  </mergeCells>
  <pageMargins left="0.16" right="0.22" top="0.32" bottom="0.28000000000000003" header="0.3" footer="0.3"/>
  <pageSetup paperSize="9" orientation="portrait" r:id="rId1"/>
  <tableParts count="4"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A6EA5-288F-439A-95A9-309CE9BECCB5}">
  <dimension ref="A1:D51"/>
  <sheetViews>
    <sheetView zoomScaleNormal="100" workbookViewId="0">
      <selection activeCell="C33" sqref="C33"/>
    </sheetView>
  </sheetViews>
  <sheetFormatPr defaultRowHeight="12.75" x14ac:dyDescent="0.2"/>
  <cols>
    <col min="1" max="1" width="6.28515625" style="11" customWidth="1"/>
    <col min="2" max="2" width="36.42578125" style="11" customWidth="1"/>
    <col min="3" max="3" width="29.7109375" style="11" customWidth="1"/>
    <col min="4" max="4" width="29.7109375" style="23" customWidth="1"/>
    <col min="5" max="16384" width="9.140625" style="11"/>
  </cols>
  <sheetData>
    <row r="1" spans="1:4" ht="22.5" customHeight="1" x14ac:dyDescent="0.2">
      <c r="A1" s="64" t="s">
        <v>102</v>
      </c>
      <c r="B1" s="64"/>
      <c r="C1" s="64"/>
      <c r="D1" s="64"/>
    </row>
    <row r="2" spans="1:4" ht="12" customHeight="1" x14ac:dyDescent="0.2">
      <c r="A2" s="24"/>
      <c r="B2" s="24"/>
      <c r="C2" s="24"/>
      <c r="D2" s="24"/>
    </row>
    <row r="3" spans="1:4" ht="22.5" customHeight="1" x14ac:dyDescent="0.2">
      <c r="A3" s="65" t="s">
        <v>112</v>
      </c>
      <c r="B3" s="65"/>
      <c r="C3" s="65"/>
      <c r="D3" s="65"/>
    </row>
    <row r="4" spans="1:4" s="28" customFormat="1" ht="12" customHeight="1" x14ac:dyDescent="0.2">
      <c r="A4" s="27"/>
      <c r="B4" s="27"/>
      <c r="C4" s="27"/>
      <c r="D4" s="27"/>
    </row>
    <row r="5" spans="1:4" ht="12" customHeight="1" x14ac:dyDescent="0.2">
      <c r="A5" s="15"/>
      <c r="B5" s="16" t="s">
        <v>104</v>
      </c>
      <c r="C5" s="16" t="s">
        <v>46</v>
      </c>
      <c r="D5" s="16" t="s">
        <v>103</v>
      </c>
    </row>
    <row r="6" spans="1:4" ht="21" customHeight="1" x14ac:dyDescent="0.2">
      <c r="A6" s="15"/>
      <c r="B6" s="51"/>
      <c r="C6" s="36"/>
      <c r="D6" s="51"/>
    </row>
    <row r="7" spans="1:4" ht="12" customHeight="1" x14ac:dyDescent="0.2">
      <c r="A7" s="15"/>
      <c r="B7" s="6"/>
      <c r="C7" s="6"/>
      <c r="D7" s="6"/>
    </row>
    <row r="8" spans="1:4" ht="22.5" customHeight="1" x14ac:dyDescent="0.2">
      <c r="A8" s="66" t="s">
        <v>113</v>
      </c>
      <c r="B8" s="66"/>
      <c r="C8" s="66"/>
      <c r="D8" s="66"/>
    </row>
    <row r="9" spans="1:4" ht="12" customHeight="1" x14ac:dyDescent="0.2">
      <c r="A9" s="30"/>
      <c r="B9" s="4"/>
    </row>
    <row r="10" spans="1:4" ht="15" x14ac:dyDescent="0.2">
      <c r="A10" s="17" t="s">
        <v>31</v>
      </c>
      <c r="B10" s="12" t="s">
        <v>32</v>
      </c>
      <c r="C10" s="12" t="s">
        <v>47</v>
      </c>
      <c r="D10" s="12" t="s">
        <v>100</v>
      </c>
    </row>
    <row r="11" spans="1:4" ht="15.75" x14ac:dyDescent="0.2">
      <c r="A11" s="26">
        <v>5088</v>
      </c>
      <c r="B11" s="2" t="s">
        <v>12</v>
      </c>
      <c r="C11" s="18"/>
      <c r="D11" s="18"/>
    </row>
    <row r="12" spans="1:4" ht="15.75" x14ac:dyDescent="0.2">
      <c r="A12" s="26">
        <v>5091</v>
      </c>
      <c r="B12" s="2" t="s">
        <v>15</v>
      </c>
      <c r="C12" s="18"/>
      <c r="D12" s="18"/>
    </row>
    <row r="13" spans="1:4" ht="15.75" x14ac:dyDescent="0.2">
      <c r="A13" s="26">
        <v>5092</v>
      </c>
      <c r="B13" s="2" t="s">
        <v>11</v>
      </c>
      <c r="C13" s="18"/>
      <c r="D13" s="18"/>
    </row>
    <row r="14" spans="1:4" ht="15.75" x14ac:dyDescent="0.2">
      <c r="A14" s="26">
        <v>5093</v>
      </c>
      <c r="B14" s="2" t="s">
        <v>16</v>
      </c>
      <c r="C14" s="18"/>
      <c r="D14" s="18"/>
    </row>
    <row r="15" spans="1:4" ht="15.75" x14ac:dyDescent="0.2">
      <c r="A15" s="26">
        <v>5098</v>
      </c>
      <c r="B15" s="2" t="s">
        <v>13</v>
      </c>
      <c r="C15" s="18"/>
      <c r="D15" s="18"/>
    </row>
    <row r="16" spans="1:4" ht="15.75" x14ac:dyDescent="0.2">
      <c r="A16" s="26"/>
      <c r="B16" s="2"/>
      <c r="C16" s="18"/>
      <c r="D16" s="18"/>
    </row>
    <row r="17" spans="1:4" ht="15.75" x14ac:dyDescent="0.2">
      <c r="A17" s="29"/>
      <c r="B17" s="5"/>
      <c r="C17" s="20"/>
      <c r="D17" s="20"/>
    </row>
    <row r="18" spans="1:4" ht="16.5" customHeight="1" x14ac:dyDescent="0.2">
      <c r="A18" s="31"/>
      <c r="B18" s="32"/>
      <c r="C18" s="33"/>
      <c r="D18" s="34"/>
    </row>
    <row r="19" spans="1:4" s="46" customFormat="1" ht="16.5" customHeight="1" x14ac:dyDescent="0.2">
      <c r="A19" s="48"/>
      <c r="B19" s="49"/>
      <c r="C19" s="50"/>
      <c r="D19" s="34"/>
    </row>
    <row r="20" spans="1:4" ht="15.75" x14ac:dyDescent="0.2">
      <c r="A20" s="31"/>
      <c r="B20" s="32"/>
      <c r="C20" s="33"/>
      <c r="D20" s="34"/>
    </row>
    <row r="21" spans="1:4" ht="15.75" x14ac:dyDescent="0.2">
      <c r="A21" s="30"/>
      <c r="B21" s="4"/>
    </row>
    <row r="22" spans="1:4" ht="15.75" x14ac:dyDescent="0.2">
      <c r="A22" s="30"/>
      <c r="B22" s="4"/>
    </row>
    <row r="23" spans="1:4" ht="22.5" customHeight="1" x14ac:dyDescent="0.2">
      <c r="A23" s="66" t="s">
        <v>118</v>
      </c>
      <c r="B23" s="66"/>
      <c r="C23" s="66"/>
      <c r="D23" s="66"/>
    </row>
    <row r="24" spans="1:4" ht="12" customHeight="1" x14ac:dyDescent="0.2">
      <c r="A24" s="30"/>
      <c r="B24" s="4"/>
    </row>
    <row r="25" spans="1:4" ht="15" x14ac:dyDescent="0.2">
      <c r="A25" s="17" t="s">
        <v>31</v>
      </c>
      <c r="B25" s="12" t="s">
        <v>32</v>
      </c>
      <c r="C25" s="12" t="s">
        <v>47</v>
      </c>
      <c r="D25" s="12" t="s">
        <v>100</v>
      </c>
    </row>
    <row r="26" spans="1:4" ht="15.75" x14ac:dyDescent="0.2">
      <c r="A26" s="26">
        <v>5060</v>
      </c>
      <c r="B26" s="2" t="s">
        <v>110</v>
      </c>
      <c r="C26" s="18"/>
      <c r="D26" s="18"/>
    </row>
    <row r="27" spans="1:4" ht="15.75" x14ac:dyDescent="0.2">
      <c r="A27" s="26">
        <v>5055</v>
      </c>
      <c r="B27" s="2" t="s">
        <v>34</v>
      </c>
      <c r="C27" s="18"/>
      <c r="D27" s="18"/>
    </row>
    <row r="28" spans="1:4" ht="15.75" x14ac:dyDescent="0.2">
      <c r="A28" s="26">
        <v>7058</v>
      </c>
      <c r="B28" s="2" t="s">
        <v>117</v>
      </c>
      <c r="C28" s="18"/>
      <c r="D28" s="18"/>
    </row>
    <row r="29" spans="1:4" ht="15.75" x14ac:dyDescent="0.2">
      <c r="A29" s="26">
        <v>74</v>
      </c>
      <c r="B29" s="2" t="s">
        <v>36</v>
      </c>
      <c r="C29" s="18"/>
      <c r="D29" s="18"/>
    </row>
    <row r="30" spans="1:4" ht="15.75" x14ac:dyDescent="0.2">
      <c r="A30" s="26">
        <v>5531</v>
      </c>
      <c r="B30" s="2" t="s">
        <v>44</v>
      </c>
      <c r="C30" s="18"/>
      <c r="D30" s="18"/>
    </row>
    <row r="31" spans="1:4" ht="15.75" x14ac:dyDescent="0.2">
      <c r="A31" s="26">
        <v>5053</v>
      </c>
      <c r="B31" s="2" t="s">
        <v>33</v>
      </c>
      <c r="C31" s="18"/>
      <c r="D31" s="18"/>
    </row>
    <row r="32" spans="1:4" ht="15.75" x14ac:dyDescent="0.2">
      <c r="A32" s="29">
        <v>5064</v>
      </c>
      <c r="B32" s="5" t="s">
        <v>14</v>
      </c>
      <c r="C32" s="20"/>
      <c r="D32" s="20"/>
    </row>
    <row r="33" spans="1:4" ht="15.75" x14ac:dyDescent="0.2">
      <c r="A33" s="7">
        <v>5072</v>
      </c>
      <c r="B33" s="2" t="s">
        <v>17</v>
      </c>
      <c r="C33" s="20"/>
      <c r="D33" s="19"/>
    </row>
    <row r="34" spans="1:4" ht="15.75" x14ac:dyDescent="0.2">
      <c r="A34" s="7">
        <v>50772</v>
      </c>
      <c r="B34" s="2" t="s">
        <v>109</v>
      </c>
      <c r="C34" s="20"/>
      <c r="D34" s="19"/>
    </row>
    <row r="35" spans="1:4" ht="15.75" x14ac:dyDescent="0.2">
      <c r="A35" s="7"/>
      <c r="B35" s="2"/>
      <c r="C35" s="20"/>
      <c r="D35" s="19"/>
    </row>
    <row r="36" spans="1:4" ht="15.75" x14ac:dyDescent="0.2">
      <c r="A36" s="7"/>
      <c r="B36" s="2"/>
      <c r="C36" s="20"/>
      <c r="D36" s="19"/>
    </row>
    <row r="37" spans="1:4" ht="15.75" x14ac:dyDescent="0.2">
      <c r="A37" s="31"/>
      <c r="B37" s="32"/>
      <c r="C37" s="33"/>
      <c r="D37" s="34"/>
    </row>
    <row r="38" spans="1:4" ht="15.75" x14ac:dyDescent="0.2">
      <c r="A38" s="31"/>
      <c r="B38" s="32"/>
      <c r="C38" s="33"/>
      <c r="D38" s="34"/>
    </row>
    <row r="39" spans="1:4" ht="15.75" x14ac:dyDescent="0.2">
      <c r="A39" s="31"/>
      <c r="B39" s="32"/>
      <c r="C39" s="33"/>
      <c r="D39" s="34"/>
    </row>
    <row r="40" spans="1:4" ht="15.75" x14ac:dyDescent="0.2">
      <c r="A40" s="30"/>
      <c r="B40" s="4"/>
    </row>
    <row r="41" spans="1:4" ht="15.75" x14ac:dyDescent="0.2">
      <c r="A41" s="30"/>
      <c r="B41" s="4"/>
    </row>
    <row r="42" spans="1:4" ht="22.5" customHeight="1" x14ac:dyDescent="0.2">
      <c r="A42" s="66" t="s">
        <v>114</v>
      </c>
      <c r="B42" s="66"/>
      <c r="C42" s="66"/>
      <c r="D42" s="66"/>
    </row>
    <row r="43" spans="1:4" ht="12" customHeight="1" x14ac:dyDescent="0.2">
      <c r="A43" s="30"/>
      <c r="B43" s="4"/>
    </row>
    <row r="44" spans="1:4" ht="15" x14ac:dyDescent="0.2">
      <c r="A44" s="17" t="s">
        <v>31</v>
      </c>
      <c r="B44" s="12" t="s">
        <v>32</v>
      </c>
      <c r="C44" s="12" t="s">
        <v>47</v>
      </c>
      <c r="D44" s="12" t="s">
        <v>100</v>
      </c>
    </row>
    <row r="45" spans="1:4" ht="15.75" x14ac:dyDescent="0.2">
      <c r="A45" s="26">
        <v>4994</v>
      </c>
      <c r="B45" s="2" t="s">
        <v>19</v>
      </c>
      <c r="C45" s="18"/>
      <c r="D45" s="18"/>
    </row>
    <row r="46" spans="1:4" ht="15.75" x14ac:dyDescent="0.2">
      <c r="A46" s="26">
        <v>4995</v>
      </c>
      <c r="B46" s="2" t="s">
        <v>111</v>
      </c>
      <c r="C46" s="18"/>
      <c r="D46" s="18"/>
    </row>
    <row r="47" spans="1:4" ht="15.75" x14ac:dyDescent="0.2">
      <c r="A47" s="7"/>
      <c r="B47" s="2"/>
      <c r="C47" s="1"/>
      <c r="D47" s="19"/>
    </row>
    <row r="48" spans="1:4" ht="15.75" x14ac:dyDescent="0.2">
      <c r="A48" s="10"/>
      <c r="B48" s="5"/>
      <c r="C48" s="14"/>
      <c r="D48" s="21"/>
    </row>
    <row r="49" spans="1:4" ht="15.75" x14ac:dyDescent="0.2">
      <c r="A49" s="31"/>
      <c r="B49" s="32"/>
      <c r="C49" s="33"/>
      <c r="D49" s="34"/>
    </row>
    <row r="50" spans="1:4" ht="15.75" x14ac:dyDescent="0.2">
      <c r="A50" s="31"/>
      <c r="B50" s="32"/>
      <c r="C50" s="33"/>
      <c r="D50" s="34"/>
    </row>
    <row r="51" spans="1:4" ht="15.75" x14ac:dyDescent="0.2">
      <c r="A51" s="31"/>
      <c r="B51" s="32"/>
      <c r="C51" s="33"/>
      <c r="D51" s="34"/>
    </row>
  </sheetData>
  <mergeCells count="5">
    <mergeCell ref="A1:D1"/>
    <mergeCell ref="A3:D3"/>
    <mergeCell ref="A23:D23"/>
    <mergeCell ref="A42:D42"/>
    <mergeCell ref="A8:D8"/>
  </mergeCells>
  <printOptions horizontalCentered="1"/>
  <pageMargins left="0.15748031496062992" right="0.15748031496062992" top="0.31496062992125984" bottom="0.16" header="0.31496062992125984" footer="0.31496062992125984"/>
  <pageSetup paperSize="9" orientation="portrait"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F17E2-BD0C-4FAA-BFA5-0843E187A67E}">
  <dimension ref="A1:D45"/>
  <sheetViews>
    <sheetView zoomScaleNormal="100" workbookViewId="0">
      <selection activeCell="C11" sqref="C11:C40"/>
    </sheetView>
  </sheetViews>
  <sheetFormatPr defaultRowHeight="12.75" x14ac:dyDescent="0.2"/>
  <cols>
    <col min="1" max="1" width="6.28515625" style="11" customWidth="1"/>
    <col min="2" max="2" width="36.42578125" style="11" customWidth="1"/>
    <col min="3" max="3" width="29.7109375" style="28" customWidth="1"/>
    <col min="4" max="4" width="29.7109375" style="59" customWidth="1"/>
    <col min="5" max="16384" width="9.140625" style="11"/>
  </cols>
  <sheetData>
    <row r="1" spans="1:4" ht="22.5" customHeight="1" x14ac:dyDescent="0.2">
      <c r="A1" s="64" t="s">
        <v>102</v>
      </c>
      <c r="B1" s="64"/>
      <c r="C1" s="64"/>
      <c r="D1" s="64"/>
    </row>
    <row r="2" spans="1:4" ht="12" customHeight="1" x14ac:dyDescent="0.2">
      <c r="A2" s="24"/>
      <c r="B2" s="24"/>
      <c r="C2" s="52"/>
      <c r="D2" s="52"/>
    </row>
    <row r="3" spans="1:4" ht="22.5" customHeight="1" x14ac:dyDescent="0.2">
      <c r="A3" s="65" t="s">
        <v>112</v>
      </c>
      <c r="B3" s="65"/>
      <c r="C3" s="65"/>
      <c r="D3" s="65"/>
    </row>
    <row r="4" spans="1:4" s="28" customFormat="1" ht="12" customHeight="1" x14ac:dyDescent="0.2">
      <c r="A4" s="27"/>
      <c r="B4" s="27"/>
      <c r="C4" s="27"/>
      <c r="D4" s="27"/>
    </row>
    <row r="5" spans="1:4" ht="12" customHeight="1" x14ac:dyDescent="0.2">
      <c r="A5" s="15"/>
      <c r="B5" s="16" t="s">
        <v>104</v>
      </c>
      <c r="C5" s="53" t="s">
        <v>46</v>
      </c>
      <c r="D5" s="53" t="s">
        <v>103</v>
      </c>
    </row>
    <row r="6" spans="1:4" ht="21" customHeight="1" x14ac:dyDescent="0.2">
      <c r="A6" s="15"/>
      <c r="B6" s="51"/>
      <c r="C6" s="54"/>
      <c r="D6" s="55"/>
    </row>
    <row r="7" spans="1:4" ht="12" customHeight="1" x14ac:dyDescent="0.2">
      <c r="A7" s="15"/>
      <c r="B7" s="6"/>
      <c r="C7" s="55"/>
      <c r="D7" s="55"/>
    </row>
    <row r="8" spans="1:4" ht="22.5" customHeight="1" x14ac:dyDescent="0.2">
      <c r="A8" s="66" t="s">
        <v>119</v>
      </c>
      <c r="B8" s="66"/>
      <c r="C8" s="66"/>
      <c r="D8" s="66"/>
    </row>
    <row r="9" spans="1:4" ht="12" customHeight="1" x14ac:dyDescent="0.2">
      <c r="A9" s="15"/>
      <c r="B9" s="6"/>
      <c r="C9" s="55"/>
      <c r="D9" s="55"/>
    </row>
    <row r="10" spans="1:4" ht="15" x14ac:dyDescent="0.2">
      <c r="A10" s="17" t="s">
        <v>31</v>
      </c>
      <c r="B10" s="12" t="s">
        <v>32</v>
      </c>
      <c r="C10" s="12" t="s">
        <v>47</v>
      </c>
      <c r="D10" s="12" t="s">
        <v>100</v>
      </c>
    </row>
    <row r="11" spans="1:4" ht="15.75" x14ac:dyDescent="0.2">
      <c r="A11" s="26">
        <v>328</v>
      </c>
      <c r="B11" s="2" t="s">
        <v>43</v>
      </c>
      <c r="C11" s="56"/>
      <c r="D11" s="56"/>
    </row>
    <row r="12" spans="1:4" ht="15.75" x14ac:dyDescent="0.2">
      <c r="A12" s="26">
        <v>364</v>
      </c>
      <c r="B12" s="2" t="s">
        <v>42</v>
      </c>
      <c r="C12" s="56"/>
      <c r="D12" s="56"/>
    </row>
    <row r="13" spans="1:4" ht="15.75" x14ac:dyDescent="0.2">
      <c r="A13" s="26">
        <v>906</v>
      </c>
      <c r="B13" s="2" t="s">
        <v>99</v>
      </c>
      <c r="C13" s="56"/>
      <c r="D13" s="56"/>
    </row>
    <row r="14" spans="1:4" ht="15.75" x14ac:dyDescent="0.2">
      <c r="A14" s="26">
        <v>387</v>
      </c>
      <c r="B14" s="2" t="s">
        <v>91</v>
      </c>
      <c r="C14" s="56"/>
      <c r="D14" s="63"/>
    </row>
    <row r="15" spans="1:4" ht="15.75" x14ac:dyDescent="0.2">
      <c r="A15" s="26">
        <v>391</v>
      </c>
      <c r="B15" s="2" t="s">
        <v>84</v>
      </c>
      <c r="C15" s="56"/>
      <c r="D15" s="63"/>
    </row>
    <row r="16" spans="1:4" ht="15.75" x14ac:dyDescent="0.2">
      <c r="A16" s="26">
        <v>388</v>
      </c>
      <c r="B16" s="2" t="s">
        <v>92</v>
      </c>
      <c r="C16" s="56"/>
      <c r="D16" s="63"/>
    </row>
    <row r="17" spans="1:4" ht="15.75" x14ac:dyDescent="0.2">
      <c r="A17" s="26">
        <v>989</v>
      </c>
      <c r="B17" s="2" t="s">
        <v>94</v>
      </c>
      <c r="C17" s="56"/>
      <c r="D17" s="63"/>
    </row>
    <row r="18" spans="1:4" ht="16.5" customHeight="1" x14ac:dyDescent="0.2">
      <c r="A18" s="26">
        <v>1072</v>
      </c>
      <c r="B18" s="2" t="s">
        <v>88</v>
      </c>
      <c r="C18" s="56"/>
      <c r="D18" s="63"/>
    </row>
    <row r="19" spans="1:4" s="46" customFormat="1" ht="15.75" x14ac:dyDescent="0.2">
      <c r="A19" s="47">
        <v>1073</v>
      </c>
      <c r="B19" s="25" t="s">
        <v>96</v>
      </c>
      <c r="C19" s="56"/>
      <c r="D19" s="63"/>
    </row>
    <row r="20" spans="1:4" ht="15.75" x14ac:dyDescent="0.2">
      <c r="A20" s="26">
        <v>984</v>
      </c>
      <c r="B20" s="2" t="s">
        <v>95</v>
      </c>
      <c r="C20" s="56"/>
      <c r="D20" s="63"/>
    </row>
    <row r="21" spans="1:4" ht="15.75" x14ac:dyDescent="0.2">
      <c r="A21" s="26">
        <v>983</v>
      </c>
      <c r="B21" s="2" t="s">
        <v>37</v>
      </c>
      <c r="C21" s="56"/>
      <c r="D21" s="63"/>
    </row>
    <row r="22" spans="1:4" ht="15.75" x14ac:dyDescent="0.2">
      <c r="A22" s="26">
        <v>979</v>
      </c>
      <c r="B22" s="2" t="s">
        <v>28</v>
      </c>
      <c r="C22" s="56"/>
      <c r="D22" s="56"/>
    </row>
    <row r="23" spans="1:4" ht="15.75" x14ac:dyDescent="0.2">
      <c r="A23" s="26">
        <v>390</v>
      </c>
      <c r="B23" s="25" t="s">
        <v>108</v>
      </c>
      <c r="C23" s="56"/>
      <c r="D23" s="63"/>
    </row>
    <row r="24" spans="1:4" ht="15.75" x14ac:dyDescent="0.2">
      <c r="A24" s="26">
        <v>392</v>
      </c>
      <c r="B24" s="2" t="s">
        <v>85</v>
      </c>
      <c r="C24" s="56"/>
      <c r="D24" s="63"/>
    </row>
    <row r="25" spans="1:4" ht="15.75" x14ac:dyDescent="0.2">
      <c r="A25" s="26">
        <v>986</v>
      </c>
      <c r="B25" s="2" t="s">
        <v>107</v>
      </c>
      <c r="C25" s="56"/>
      <c r="D25" s="63"/>
    </row>
    <row r="26" spans="1:4" ht="15.75" x14ac:dyDescent="0.2">
      <c r="A26" s="26">
        <v>1071</v>
      </c>
      <c r="B26" s="2" t="s">
        <v>87</v>
      </c>
      <c r="C26" s="56"/>
      <c r="D26" s="63"/>
    </row>
    <row r="27" spans="1:4" ht="15.75" x14ac:dyDescent="0.2">
      <c r="A27" s="26">
        <v>790</v>
      </c>
      <c r="B27" s="2" t="s">
        <v>93</v>
      </c>
      <c r="C27" s="56"/>
      <c r="D27" s="63"/>
    </row>
    <row r="28" spans="1:4" ht="15.75" x14ac:dyDescent="0.2">
      <c r="A28" s="26">
        <v>385</v>
      </c>
      <c r="B28" s="2" t="s">
        <v>89</v>
      </c>
      <c r="C28" s="56"/>
      <c r="D28" s="63"/>
    </row>
    <row r="29" spans="1:4" ht="15.75" x14ac:dyDescent="0.2">
      <c r="A29" s="26">
        <v>384</v>
      </c>
      <c r="B29" s="2" t="s">
        <v>90</v>
      </c>
      <c r="C29" s="56"/>
      <c r="D29" s="56"/>
    </row>
    <row r="30" spans="1:4" ht="15.75" x14ac:dyDescent="0.2">
      <c r="A30" s="26">
        <v>995</v>
      </c>
      <c r="B30" s="2" t="s">
        <v>58</v>
      </c>
      <c r="C30" s="56"/>
      <c r="D30" s="63"/>
    </row>
    <row r="31" spans="1:4" ht="15.75" x14ac:dyDescent="0.2">
      <c r="A31" s="26">
        <v>993</v>
      </c>
      <c r="B31" s="2" t="s">
        <v>30</v>
      </c>
      <c r="C31" s="56"/>
      <c r="D31" s="63"/>
    </row>
    <row r="32" spans="1:4" ht="15.75" x14ac:dyDescent="0.2">
      <c r="A32" s="26">
        <v>1074</v>
      </c>
      <c r="B32" s="2" t="s">
        <v>97</v>
      </c>
      <c r="C32" s="56"/>
      <c r="D32" s="63"/>
    </row>
    <row r="33" spans="1:4" ht="15.75" x14ac:dyDescent="0.2">
      <c r="A33" s="26">
        <v>1067</v>
      </c>
      <c r="B33" s="2" t="s">
        <v>81</v>
      </c>
      <c r="C33" s="56"/>
      <c r="D33" s="56"/>
    </row>
    <row r="34" spans="1:4" ht="15.75" x14ac:dyDescent="0.2">
      <c r="A34" s="26">
        <v>1068</v>
      </c>
      <c r="B34" s="2" t="s">
        <v>82</v>
      </c>
      <c r="C34" s="56"/>
      <c r="D34" s="56"/>
    </row>
    <row r="35" spans="1:4" ht="15.75" x14ac:dyDescent="0.2">
      <c r="A35" s="26">
        <v>1069</v>
      </c>
      <c r="B35" s="2" t="s">
        <v>83</v>
      </c>
      <c r="C35" s="56"/>
      <c r="D35" s="63"/>
    </row>
    <row r="36" spans="1:4" ht="15.75" x14ac:dyDescent="0.2">
      <c r="A36" s="26">
        <v>1070</v>
      </c>
      <c r="B36" s="2" t="s">
        <v>86</v>
      </c>
      <c r="C36" s="56"/>
      <c r="D36" s="63"/>
    </row>
    <row r="37" spans="1:4" ht="15.75" x14ac:dyDescent="0.2">
      <c r="A37" s="7">
        <v>5211</v>
      </c>
      <c r="B37" s="2" t="s">
        <v>98</v>
      </c>
      <c r="C37" s="56"/>
      <c r="D37" s="63"/>
    </row>
    <row r="38" spans="1:4" ht="15.75" x14ac:dyDescent="0.2">
      <c r="A38" s="7">
        <v>990</v>
      </c>
      <c r="B38" s="2" t="s">
        <v>29</v>
      </c>
      <c r="C38" s="56"/>
      <c r="D38" s="63"/>
    </row>
    <row r="39" spans="1:4" ht="15.75" x14ac:dyDescent="0.2">
      <c r="A39" s="7">
        <v>7085</v>
      </c>
      <c r="B39" s="2" t="s">
        <v>45</v>
      </c>
      <c r="C39" s="56"/>
      <c r="D39" s="63"/>
    </row>
    <row r="40" spans="1:4" ht="15.75" x14ac:dyDescent="0.2">
      <c r="A40" s="7"/>
      <c r="B40" s="2"/>
      <c r="C40" s="56"/>
      <c r="D40" s="63"/>
    </row>
    <row r="41" spans="1:4" ht="15.75" x14ac:dyDescent="0.2">
      <c r="A41" s="7"/>
      <c r="B41" s="2"/>
      <c r="C41" s="56"/>
      <c r="D41" s="63"/>
    </row>
    <row r="42" spans="1:4" ht="16.5" customHeight="1" x14ac:dyDescent="0.2">
      <c r="A42" s="31"/>
      <c r="B42" s="32"/>
      <c r="C42" s="57"/>
      <c r="D42" s="58"/>
    </row>
    <row r="43" spans="1:4" ht="16.5" customHeight="1" x14ac:dyDescent="0.2">
      <c r="A43" s="31"/>
      <c r="B43" s="32"/>
      <c r="C43" s="57"/>
      <c r="D43" s="58"/>
    </row>
    <row r="44" spans="1:4" ht="15.75" x14ac:dyDescent="0.2">
      <c r="A44" s="31"/>
      <c r="B44" s="32"/>
      <c r="C44" s="57"/>
      <c r="D44" s="58"/>
    </row>
    <row r="45" spans="1:4" ht="15.75" x14ac:dyDescent="0.2">
      <c r="A45" s="30"/>
      <c r="B45" s="4"/>
    </row>
  </sheetData>
  <mergeCells count="3">
    <mergeCell ref="A1:D1"/>
    <mergeCell ref="A3:D3"/>
    <mergeCell ref="A8:D8"/>
  </mergeCells>
  <printOptions horizontalCentered="1"/>
  <pageMargins left="0.15748031496062992" right="0.15748031496062992" top="0.31496062992125984" bottom="0.31496062992125984" header="0.31496062992125984" footer="0.31496062992125984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1EDC5-2882-48CA-83BD-E56814567BF5}">
  <dimension ref="A1:H69"/>
  <sheetViews>
    <sheetView workbookViewId="0">
      <selection activeCell="J1" sqref="J1:J1048576"/>
    </sheetView>
  </sheetViews>
  <sheetFormatPr defaultRowHeight="12.75" x14ac:dyDescent="0.2"/>
  <cols>
    <col min="1" max="1" width="6.28515625" style="11" customWidth="1"/>
    <col min="2" max="2" width="31.28515625" style="11" customWidth="1"/>
    <col min="3" max="3" width="5" style="23" bestFit="1" customWidth="1"/>
    <col min="4" max="4" width="32.28515625" style="28" customWidth="1"/>
    <col min="5" max="5" width="27.5703125" style="59" customWidth="1"/>
    <col min="6" max="16384" width="9.140625" style="11"/>
  </cols>
  <sheetData>
    <row r="1" spans="1:8" ht="22.5" customHeight="1" x14ac:dyDescent="0.2">
      <c r="A1" s="64" t="s">
        <v>102</v>
      </c>
      <c r="B1" s="64"/>
      <c r="C1" s="64"/>
      <c r="D1" s="64"/>
      <c r="E1" s="64"/>
    </row>
    <row r="2" spans="1:8" ht="12" customHeight="1" x14ac:dyDescent="0.2">
      <c r="A2" s="24"/>
      <c r="B2" s="24"/>
      <c r="C2" s="37"/>
      <c r="D2" s="52"/>
      <c r="E2" s="52"/>
    </row>
    <row r="3" spans="1:8" ht="22.5" customHeight="1" x14ac:dyDescent="0.2">
      <c r="A3" s="65" t="s">
        <v>112</v>
      </c>
      <c r="B3" s="65"/>
      <c r="C3" s="65"/>
      <c r="D3" s="65"/>
      <c r="E3" s="65"/>
    </row>
    <row r="4" spans="1:8" s="28" customFormat="1" ht="12" customHeight="1" x14ac:dyDescent="0.2">
      <c r="A4" s="27"/>
      <c r="B4" s="27"/>
      <c r="C4" s="27"/>
      <c r="D4" s="27"/>
      <c r="E4" s="27"/>
    </row>
    <row r="5" spans="1:8" ht="12" customHeight="1" x14ac:dyDescent="0.2">
      <c r="A5" s="15"/>
      <c r="B5" s="16" t="s">
        <v>104</v>
      </c>
      <c r="C5" s="38"/>
      <c r="D5" s="53" t="s">
        <v>46</v>
      </c>
      <c r="E5" s="53" t="s">
        <v>103</v>
      </c>
    </row>
    <row r="6" spans="1:8" ht="21" customHeight="1" x14ac:dyDescent="0.2">
      <c r="A6" s="15"/>
      <c r="B6" s="51"/>
      <c r="D6" s="54"/>
      <c r="E6" s="55"/>
    </row>
    <row r="7" spans="1:8" ht="12" customHeight="1" x14ac:dyDescent="0.2">
      <c r="A7" s="15"/>
      <c r="B7" s="6"/>
      <c r="C7" s="39"/>
      <c r="D7" s="55"/>
      <c r="E7" s="55"/>
    </row>
    <row r="8" spans="1:8" ht="22.5" customHeight="1" x14ac:dyDescent="0.2">
      <c r="A8" s="66" t="s">
        <v>136</v>
      </c>
      <c r="B8" s="66"/>
      <c r="C8" s="66"/>
      <c r="D8" s="66"/>
      <c r="E8" s="66"/>
    </row>
    <row r="9" spans="1:8" ht="12" customHeight="1" x14ac:dyDescent="0.2">
      <c r="A9" s="15"/>
      <c r="B9" s="6"/>
      <c r="C9" s="39"/>
      <c r="D9" s="55"/>
      <c r="E9" s="55"/>
    </row>
    <row r="10" spans="1:8" ht="15" x14ac:dyDescent="0.2">
      <c r="A10" s="17" t="s">
        <v>31</v>
      </c>
      <c r="B10" s="12" t="s">
        <v>32</v>
      </c>
      <c r="C10" s="12" t="s">
        <v>149</v>
      </c>
      <c r="D10" s="12" t="s">
        <v>106</v>
      </c>
      <c r="E10" s="12" t="s">
        <v>101</v>
      </c>
      <c r="F10" s="12" t="s">
        <v>100</v>
      </c>
    </row>
    <row r="11" spans="1:8" ht="15.75" x14ac:dyDescent="0.25">
      <c r="A11" s="7">
        <v>5168</v>
      </c>
      <c r="B11" s="2" t="s">
        <v>151</v>
      </c>
      <c r="C11" s="40">
        <v>0.75</v>
      </c>
      <c r="D11" s="60"/>
      <c r="E11" s="60"/>
      <c r="F11" s="22">
        <f>Tabela112[[#This Row],[GARRAFA]]+Tabela112[[#This Row],[DOSE]]</f>
        <v>0</v>
      </c>
      <c r="H11" s="23"/>
    </row>
    <row r="12" spans="1:8" ht="15.75" x14ac:dyDescent="0.25">
      <c r="A12" s="7">
        <v>5212</v>
      </c>
      <c r="B12" s="2" t="s">
        <v>152</v>
      </c>
      <c r="C12" s="40">
        <v>0.75</v>
      </c>
      <c r="D12" s="60"/>
      <c r="E12" s="60"/>
      <c r="F12" s="22">
        <f>Tabela112[[#This Row],[GARRAFA]]+Tabela112[[#This Row],[DOSE]]</f>
        <v>0</v>
      </c>
      <c r="H12" s="23"/>
    </row>
    <row r="13" spans="1:8" ht="15.75" x14ac:dyDescent="0.25">
      <c r="A13" s="7">
        <v>6041</v>
      </c>
      <c r="B13" s="2" t="s">
        <v>26</v>
      </c>
      <c r="C13" s="40">
        <v>980</v>
      </c>
      <c r="D13" s="60"/>
      <c r="E13" s="60"/>
      <c r="F13" s="22">
        <f>Tabela112[[#This Row],[GARRAFA]]+Tabela112[[#This Row],[DOSE]]</f>
        <v>0</v>
      </c>
      <c r="H13" s="23"/>
    </row>
    <row r="14" spans="1:8" ht="15.75" x14ac:dyDescent="0.25">
      <c r="A14" s="7">
        <v>550036</v>
      </c>
      <c r="B14" s="2" t="s">
        <v>105</v>
      </c>
      <c r="C14" s="40">
        <v>980</v>
      </c>
      <c r="D14" s="60"/>
      <c r="E14" s="60"/>
      <c r="F14" s="22">
        <f>Tabela112[[#This Row],[GARRAFA]]+Tabela112[[#This Row],[DOSE]]</f>
        <v>0</v>
      </c>
      <c r="H14" s="23"/>
    </row>
    <row r="15" spans="1:8" ht="15.75" x14ac:dyDescent="0.25">
      <c r="A15" s="7">
        <v>321</v>
      </c>
      <c r="B15" s="2" t="s">
        <v>50</v>
      </c>
      <c r="C15" s="40">
        <v>1000</v>
      </c>
      <c r="D15" s="60"/>
      <c r="E15" s="60"/>
      <c r="F15" s="22">
        <f>Tabela112[[#This Row],[GARRAFA]]+Tabela112[[#This Row],[DOSE]]</f>
        <v>0</v>
      </c>
      <c r="H15" s="23"/>
    </row>
    <row r="16" spans="1:8" ht="15.75" x14ac:dyDescent="0.25">
      <c r="A16" s="7">
        <v>645</v>
      </c>
      <c r="B16" s="2" t="s">
        <v>52</v>
      </c>
      <c r="C16" s="40">
        <v>750</v>
      </c>
      <c r="D16" s="60"/>
      <c r="E16" s="60"/>
      <c r="F16" s="22">
        <f>Tabela112[[#This Row],[GARRAFA]]+Tabela112[[#This Row],[DOSE]]</f>
        <v>0</v>
      </c>
      <c r="H16" s="23"/>
    </row>
    <row r="17" spans="1:8" ht="15.75" x14ac:dyDescent="0.25">
      <c r="A17" s="7">
        <v>550038</v>
      </c>
      <c r="B17" s="2" t="s">
        <v>48</v>
      </c>
      <c r="C17" s="40">
        <v>1000</v>
      </c>
      <c r="D17" s="60"/>
      <c r="E17" s="60"/>
      <c r="F17" s="22">
        <f>Tabela112[[#This Row],[GARRAFA]]+Tabela112[[#This Row],[DOSE]]</f>
        <v>0</v>
      </c>
      <c r="H17" s="23"/>
    </row>
    <row r="18" spans="1:8" ht="15.75" customHeight="1" x14ac:dyDescent="0.25">
      <c r="A18" s="7">
        <v>4009</v>
      </c>
      <c r="B18" s="2" t="s">
        <v>153</v>
      </c>
      <c r="C18" s="40">
        <v>0.7</v>
      </c>
      <c r="D18" s="60"/>
      <c r="E18" s="60"/>
      <c r="F18" s="22">
        <f>Tabela112[[#This Row],[GARRAFA]]+Tabela112[[#This Row],[DOSE]]</f>
        <v>0</v>
      </c>
      <c r="H18" s="23"/>
    </row>
    <row r="19" spans="1:8" s="46" customFormat="1" ht="15.75" x14ac:dyDescent="0.25">
      <c r="A19" s="8">
        <v>4010</v>
      </c>
      <c r="B19" s="25" t="s">
        <v>41</v>
      </c>
      <c r="C19" s="44">
        <v>1000</v>
      </c>
      <c r="D19" s="60"/>
      <c r="E19" s="60"/>
      <c r="F19" s="45">
        <f>Tabela112[[#This Row],[GARRAFA]]+Tabela112[[#This Row],[DOSE]]</f>
        <v>0</v>
      </c>
      <c r="H19" s="23"/>
    </row>
    <row r="20" spans="1:8" ht="15.75" x14ac:dyDescent="0.2">
      <c r="A20" s="7">
        <v>100001</v>
      </c>
      <c r="B20" s="2" t="s">
        <v>154</v>
      </c>
      <c r="C20" s="40">
        <v>0.7</v>
      </c>
      <c r="D20" s="56"/>
      <c r="E20" s="56"/>
      <c r="F20" s="22">
        <f>Tabela112[[#This Row],[GARRAFA]]+Tabela112[[#This Row],[DOSE]]</f>
        <v>0</v>
      </c>
      <c r="H20" s="23"/>
    </row>
    <row r="21" spans="1:8" ht="15.75" x14ac:dyDescent="0.2">
      <c r="A21" s="7">
        <v>5173</v>
      </c>
      <c r="B21" s="2" t="s">
        <v>60</v>
      </c>
      <c r="C21" s="40">
        <v>965</v>
      </c>
      <c r="D21" s="56"/>
      <c r="E21" s="56"/>
      <c r="F21" s="22">
        <f>Tabela112[[#This Row],[GARRAFA]]+Tabela112[[#This Row],[DOSE]]</f>
        <v>0</v>
      </c>
      <c r="H21" s="23"/>
    </row>
    <row r="22" spans="1:8" ht="15.75" x14ac:dyDescent="0.2">
      <c r="A22" s="7">
        <v>500064</v>
      </c>
      <c r="B22" s="2" t="s">
        <v>155</v>
      </c>
      <c r="C22" s="40">
        <v>0.75</v>
      </c>
      <c r="D22" s="56"/>
      <c r="E22" s="56"/>
      <c r="F22" s="22">
        <f>Tabela112[[#This Row],[GARRAFA]]+Tabela112[[#This Row],[DOSE]]</f>
        <v>0</v>
      </c>
      <c r="H22" s="23"/>
    </row>
    <row r="23" spans="1:8" ht="15.75" x14ac:dyDescent="0.2">
      <c r="A23" s="7">
        <v>344</v>
      </c>
      <c r="B23" s="2" t="s">
        <v>5</v>
      </c>
      <c r="C23" s="40">
        <v>998</v>
      </c>
      <c r="D23" s="56"/>
      <c r="E23" s="56"/>
      <c r="F23" s="22">
        <f>Tabela112[[#This Row],[GARRAFA]]+Tabela112[[#This Row],[DOSE]]</f>
        <v>0</v>
      </c>
      <c r="H23" s="23"/>
    </row>
    <row r="24" spans="1:8" ht="15.75" x14ac:dyDescent="0.2">
      <c r="A24" s="7">
        <v>500062</v>
      </c>
      <c r="B24" s="2" t="s">
        <v>156</v>
      </c>
      <c r="C24" s="40">
        <v>0.74</v>
      </c>
      <c r="D24" s="56"/>
      <c r="E24" s="56"/>
      <c r="F24" s="22">
        <f>Tabela112[[#This Row],[GARRAFA]]+Tabela112[[#This Row],[DOSE]]</f>
        <v>0</v>
      </c>
      <c r="H24" s="23"/>
    </row>
    <row r="25" spans="1:8" ht="15.75" x14ac:dyDescent="0.2">
      <c r="A25" s="7">
        <v>1003</v>
      </c>
      <c r="B25" s="2" t="s">
        <v>157</v>
      </c>
      <c r="C25" s="40">
        <v>0.7</v>
      </c>
      <c r="D25" s="56"/>
      <c r="E25" s="56"/>
      <c r="F25" s="22">
        <f>Tabela112[[#This Row],[GARRAFA]]+Tabela112[[#This Row],[DOSE]]</f>
        <v>0</v>
      </c>
      <c r="H25" s="23"/>
    </row>
    <row r="26" spans="1:8" ht="15.75" x14ac:dyDescent="0.2">
      <c r="A26" s="7">
        <v>5169</v>
      </c>
      <c r="B26" s="2" t="s">
        <v>158</v>
      </c>
      <c r="C26" s="40">
        <v>0.7</v>
      </c>
      <c r="D26" s="56"/>
      <c r="E26" s="56"/>
      <c r="F26" s="22">
        <f>Tabela112[[#This Row],[GARRAFA]]+Tabela112[[#This Row],[DOSE]]</f>
        <v>0</v>
      </c>
      <c r="H26" s="23"/>
    </row>
    <row r="27" spans="1:8" ht="15.75" x14ac:dyDescent="0.2">
      <c r="A27" s="7">
        <v>5174</v>
      </c>
      <c r="B27" s="2" t="s">
        <v>159</v>
      </c>
      <c r="C27" s="40">
        <v>0.7</v>
      </c>
      <c r="D27" s="56"/>
      <c r="E27" s="56"/>
      <c r="F27" s="22">
        <f>Tabela112[[#This Row],[GARRAFA]]+Tabela112[[#This Row],[DOSE]]</f>
        <v>0</v>
      </c>
      <c r="H27" s="23"/>
    </row>
    <row r="28" spans="1:8" ht="15.75" x14ac:dyDescent="0.25">
      <c r="A28" s="7">
        <v>550040</v>
      </c>
      <c r="B28" s="3" t="s">
        <v>160</v>
      </c>
      <c r="C28" s="41">
        <v>0.75</v>
      </c>
      <c r="D28" s="56"/>
      <c r="E28" s="56"/>
      <c r="F28" s="22">
        <f>Tabela112[[#This Row],[GARRAFA]]+Tabela112[[#This Row],[DOSE]]</f>
        <v>0</v>
      </c>
      <c r="H28" s="23"/>
    </row>
    <row r="29" spans="1:8" ht="15.75" x14ac:dyDescent="0.2">
      <c r="A29" s="8">
        <v>5161</v>
      </c>
      <c r="B29" s="2" t="s">
        <v>39</v>
      </c>
      <c r="C29" s="40">
        <v>1000</v>
      </c>
      <c r="D29" s="13"/>
      <c r="E29" s="13"/>
      <c r="F29" s="22">
        <f>Tabela112[[#This Row],[GARRAFA]]+Tabela112[[#This Row],[DOSE]]</f>
        <v>0</v>
      </c>
      <c r="H29" s="23"/>
    </row>
    <row r="30" spans="1:8" ht="15.75" x14ac:dyDescent="0.2">
      <c r="A30" s="7">
        <v>529</v>
      </c>
      <c r="B30" s="2" t="s">
        <v>56</v>
      </c>
      <c r="C30" s="40">
        <v>750</v>
      </c>
      <c r="D30" s="56"/>
      <c r="E30" s="56"/>
      <c r="F30" s="22">
        <f>Tabela112[[#This Row],[GARRAFA]]+Tabela112[[#This Row],[DOSE]]</f>
        <v>0</v>
      </c>
      <c r="H30" s="23"/>
    </row>
    <row r="31" spans="1:8" ht="15.75" x14ac:dyDescent="0.2">
      <c r="A31" s="7">
        <v>1270</v>
      </c>
      <c r="B31" s="2" t="s">
        <v>147</v>
      </c>
      <c r="C31" s="40">
        <v>700</v>
      </c>
      <c r="D31" s="56"/>
      <c r="E31" s="56"/>
      <c r="F31" s="22">
        <f>Tabela112[[#This Row],[GARRAFA]]+Tabela112[[#This Row],[DOSE]]</f>
        <v>0</v>
      </c>
      <c r="H31" s="23"/>
    </row>
    <row r="32" spans="1:8" ht="15.75" x14ac:dyDescent="0.2">
      <c r="A32" s="7">
        <v>1269</v>
      </c>
      <c r="B32" s="2" t="s">
        <v>148</v>
      </c>
      <c r="C32" s="40">
        <v>700</v>
      </c>
      <c r="D32" s="56"/>
      <c r="E32" s="56"/>
      <c r="F32" s="22">
        <f>Tabela112[[#This Row],[GARRAFA]]+Tabela112[[#This Row],[DOSE]]</f>
        <v>0</v>
      </c>
      <c r="H32" s="23"/>
    </row>
    <row r="33" spans="1:8" ht="15.75" x14ac:dyDescent="0.2">
      <c r="A33" s="7">
        <v>331</v>
      </c>
      <c r="B33" s="2" t="s">
        <v>51</v>
      </c>
      <c r="C33" s="40">
        <v>750</v>
      </c>
      <c r="D33" s="56"/>
      <c r="E33" s="56"/>
      <c r="F33" s="22">
        <f>Tabela112[[#This Row],[GARRAFA]]+Tabela112[[#This Row],[DOSE]]</f>
        <v>0</v>
      </c>
      <c r="H33" s="23"/>
    </row>
    <row r="34" spans="1:8" ht="15.75" x14ac:dyDescent="0.2">
      <c r="A34" s="7">
        <v>327</v>
      </c>
      <c r="B34" s="2" t="s">
        <v>54</v>
      </c>
      <c r="C34" s="40">
        <v>1000</v>
      </c>
      <c r="D34" s="56"/>
      <c r="E34" s="56"/>
      <c r="F34" s="22">
        <f>Tabela112[[#This Row],[GARRAFA]]+Tabela112[[#This Row],[DOSE]]</f>
        <v>0</v>
      </c>
      <c r="H34" s="23"/>
    </row>
    <row r="35" spans="1:8" ht="15.75" x14ac:dyDescent="0.2">
      <c r="A35" s="7">
        <v>500068</v>
      </c>
      <c r="B35" s="2" t="s">
        <v>161</v>
      </c>
      <c r="C35" s="40">
        <v>0.7</v>
      </c>
      <c r="D35" s="56"/>
      <c r="E35" s="56"/>
      <c r="F35" s="22">
        <f>Tabela112[[#This Row],[GARRAFA]]+Tabela112[[#This Row],[DOSE]]</f>
        <v>0</v>
      </c>
      <c r="H35" s="23"/>
    </row>
    <row r="36" spans="1:8" ht="15.75" x14ac:dyDescent="0.2">
      <c r="A36" s="9">
        <v>1005</v>
      </c>
      <c r="B36" s="2" t="s">
        <v>61</v>
      </c>
      <c r="C36" s="40">
        <v>700</v>
      </c>
      <c r="D36" s="56"/>
      <c r="E36" s="56"/>
      <c r="F36" s="22">
        <f>Tabela112[[#This Row],[GARRAFA]]+Tabela112[[#This Row],[DOSE]]</f>
        <v>0</v>
      </c>
      <c r="H36" s="23"/>
    </row>
    <row r="37" spans="1:8" ht="15.75" x14ac:dyDescent="0.2">
      <c r="A37" s="7">
        <v>500060</v>
      </c>
      <c r="B37" s="2" t="s">
        <v>59</v>
      </c>
      <c r="C37" s="40">
        <v>1000</v>
      </c>
      <c r="D37" s="56"/>
      <c r="E37" s="56"/>
      <c r="F37" s="22">
        <f>Tabela112[[#This Row],[GARRAFA]]+Tabela112[[#This Row],[DOSE]]</f>
        <v>0</v>
      </c>
      <c r="H37" s="23"/>
    </row>
    <row r="38" spans="1:8" ht="15.75" x14ac:dyDescent="0.2">
      <c r="A38" s="7">
        <v>5165</v>
      </c>
      <c r="B38" s="2" t="s">
        <v>6</v>
      </c>
      <c r="C38" s="40">
        <v>750</v>
      </c>
      <c r="D38" s="56"/>
      <c r="E38" s="56"/>
      <c r="F38" s="22">
        <f>Tabela112[[#This Row],[GARRAFA]]+Tabela112[[#This Row],[DOSE]]</f>
        <v>0</v>
      </c>
      <c r="H38" s="23"/>
    </row>
    <row r="39" spans="1:8" ht="15.75" x14ac:dyDescent="0.2">
      <c r="A39" s="7">
        <v>320</v>
      </c>
      <c r="B39" s="2" t="s">
        <v>53</v>
      </c>
      <c r="C39" s="40">
        <v>1000</v>
      </c>
      <c r="D39" s="56"/>
      <c r="E39" s="56"/>
      <c r="F39" s="22">
        <f>Tabela112[[#This Row],[GARRAFA]]+Tabela112[[#This Row],[DOSE]]</f>
        <v>0</v>
      </c>
      <c r="H39" s="23"/>
    </row>
    <row r="40" spans="1:8" ht="15.75" x14ac:dyDescent="0.2">
      <c r="A40" s="7">
        <v>322</v>
      </c>
      <c r="B40" s="2" t="s">
        <v>49</v>
      </c>
      <c r="C40" s="40">
        <v>1000</v>
      </c>
      <c r="D40" s="56"/>
      <c r="E40" s="56"/>
      <c r="F40" s="22">
        <f>Tabela112[[#This Row],[GARRAFA]]+Tabela112[[#This Row],[DOSE]]</f>
        <v>0</v>
      </c>
      <c r="H40" s="23"/>
    </row>
    <row r="41" spans="1:8" ht="15.75" x14ac:dyDescent="0.2">
      <c r="A41" s="7">
        <v>648</v>
      </c>
      <c r="B41" s="2" t="s">
        <v>62</v>
      </c>
      <c r="C41" s="40">
        <v>700</v>
      </c>
      <c r="D41" s="56"/>
      <c r="E41" s="56"/>
      <c r="F41" s="22">
        <f>Tabela112[[#This Row],[GARRAFA]]+Tabela112[[#This Row],[DOSE]]</f>
        <v>0</v>
      </c>
      <c r="H41" s="23"/>
    </row>
    <row r="42" spans="1:8" ht="15.75" x14ac:dyDescent="0.2">
      <c r="A42" s="7">
        <v>528</v>
      </c>
      <c r="B42" s="2" t="s">
        <v>57</v>
      </c>
      <c r="C42" s="40">
        <v>700</v>
      </c>
      <c r="D42" s="56"/>
      <c r="E42" s="56"/>
      <c r="F42" s="22">
        <f>Tabela112[[#This Row],[GARRAFA]]+Tabela112[[#This Row],[DOSE]]</f>
        <v>0</v>
      </c>
      <c r="H42" s="23"/>
    </row>
    <row r="43" spans="1:8" ht="15.75" x14ac:dyDescent="0.2">
      <c r="A43" s="7">
        <v>646</v>
      </c>
      <c r="B43" s="2" t="s">
        <v>8</v>
      </c>
      <c r="C43" s="40">
        <v>700</v>
      </c>
      <c r="D43" s="56"/>
      <c r="E43" s="56"/>
      <c r="F43" s="22">
        <f>Tabela112[[#This Row],[GARRAFA]]+Tabela112[[#This Row],[DOSE]]</f>
        <v>0</v>
      </c>
      <c r="H43" s="23"/>
    </row>
    <row r="44" spans="1:8" ht="15.75" x14ac:dyDescent="0.2">
      <c r="A44" s="7">
        <v>5176</v>
      </c>
      <c r="B44" s="2" t="s">
        <v>150</v>
      </c>
      <c r="C44" s="40">
        <v>740</v>
      </c>
      <c r="D44" s="56"/>
      <c r="E44" s="56"/>
      <c r="F44" s="22">
        <f>Tabela112[[#This Row],[GARRAFA]]+Tabela112[[#This Row],[DOSE]]</f>
        <v>0</v>
      </c>
      <c r="H44" s="23"/>
    </row>
    <row r="45" spans="1:8" ht="15.75" x14ac:dyDescent="0.2">
      <c r="A45" s="7">
        <v>5156</v>
      </c>
      <c r="B45" s="2" t="s">
        <v>63</v>
      </c>
      <c r="C45" s="40">
        <v>100</v>
      </c>
      <c r="D45" s="56"/>
      <c r="E45" s="56"/>
      <c r="F45" s="22">
        <f>Tabela112[[#This Row],[GARRAFA]]+Tabela112[[#This Row],[DOSE]]</f>
        <v>0</v>
      </c>
      <c r="H45" s="23"/>
    </row>
    <row r="46" spans="1:8" ht="15.75" x14ac:dyDescent="0.2">
      <c r="A46" s="7">
        <v>5160</v>
      </c>
      <c r="B46" s="2" t="s">
        <v>4</v>
      </c>
      <c r="C46" s="40">
        <v>980</v>
      </c>
      <c r="D46" s="56"/>
      <c r="E46" s="56"/>
      <c r="F46" s="22">
        <f>Tabela112[[#This Row],[GARRAFA]]+Tabela112[[#This Row],[DOSE]]</f>
        <v>0</v>
      </c>
      <c r="H46" s="23"/>
    </row>
    <row r="47" spans="1:8" ht="15.75" x14ac:dyDescent="0.2">
      <c r="A47" s="7">
        <v>348</v>
      </c>
      <c r="B47" s="2" t="s">
        <v>55</v>
      </c>
      <c r="C47" s="40">
        <v>750</v>
      </c>
      <c r="D47" s="56"/>
      <c r="E47" s="56"/>
      <c r="F47" s="22">
        <f>Tabela112[[#This Row],[GARRAFA]]+Tabela112[[#This Row],[DOSE]]</f>
        <v>0</v>
      </c>
      <c r="H47" s="23"/>
    </row>
    <row r="48" spans="1:8" ht="15.75" x14ac:dyDescent="0.2">
      <c r="A48" s="7">
        <v>5175</v>
      </c>
      <c r="B48" s="2" t="s">
        <v>20</v>
      </c>
      <c r="C48" s="40">
        <v>920</v>
      </c>
      <c r="D48" s="56"/>
      <c r="E48" s="56"/>
      <c r="F48" s="22">
        <f>Tabela112[[#This Row],[GARRAFA]]+Tabela112[[#This Row],[DOSE]]</f>
        <v>0</v>
      </c>
      <c r="H48" s="23"/>
    </row>
    <row r="49" spans="1:8" ht="15.75" x14ac:dyDescent="0.2">
      <c r="A49" s="7">
        <v>324</v>
      </c>
      <c r="B49" s="2" t="s">
        <v>3</v>
      </c>
      <c r="C49" s="40">
        <v>1000</v>
      </c>
      <c r="D49" s="56"/>
      <c r="E49" s="56"/>
      <c r="F49" s="22">
        <f>Tabela112[[#This Row],[GARRAFA]]+Tabela112[[#This Row],[DOSE]]</f>
        <v>0</v>
      </c>
      <c r="H49" s="23"/>
    </row>
    <row r="50" spans="1:8" ht="15.75" x14ac:dyDescent="0.2">
      <c r="A50" s="7">
        <v>258</v>
      </c>
      <c r="B50" s="2" t="s">
        <v>1</v>
      </c>
      <c r="C50" s="40">
        <v>1000</v>
      </c>
      <c r="D50" s="56"/>
      <c r="E50" s="56"/>
      <c r="F50" s="22">
        <f>Tabela112[[#This Row],[GARRAFA]]+Tabela112[[#This Row],[DOSE]]</f>
        <v>0</v>
      </c>
      <c r="H50" s="23"/>
    </row>
    <row r="51" spans="1:8" ht="15.75" x14ac:dyDescent="0.2">
      <c r="A51" s="7">
        <v>266</v>
      </c>
      <c r="B51" s="2" t="s">
        <v>2</v>
      </c>
      <c r="C51" s="40">
        <v>998</v>
      </c>
      <c r="D51" s="56"/>
      <c r="E51" s="56"/>
      <c r="F51" s="22">
        <f>Tabela112[[#This Row],[GARRAFA]]+Tabela112[[#This Row],[DOSE]]</f>
        <v>0</v>
      </c>
      <c r="H51" s="23"/>
    </row>
    <row r="52" spans="1:8" ht="15.75" x14ac:dyDescent="0.2">
      <c r="A52" s="7">
        <v>5528</v>
      </c>
      <c r="B52" s="2" t="s">
        <v>162</v>
      </c>
      <c r="C52" s="40">
        <v>0.7</v>
      </c>
      <c r="D52" s="56"/>
      <c r="E52" s="56"/>
      <c r="F52" s="22">
        <f>Tabela112[[#This Row],[GARRAFA]]+Tabela112[[#This Row],[DOSE]]</f>
        <v>0</v>
      </c>
      <c r="H52" s="23"/>
    </row>
    <row r="53" spans="1:8" ht="15.75" x14ac:dyDescent="0.2">
      <c r="A53" s="10">
        <v>5526</v>
      </c>
      <c r="B53" s="5" t="s">
        <v>163</v>
      </c>
      <c r="C53" s="42">
        <v>0.7</v>
      </c>
      <c r="D53" s="61"/>
      <c r="E53" s="61"/>
      <c r="F53" s="22">
        <f>Tabela112[[#This Row],[GARRAFA]]+Tabela112[[#This Row],[DOSE]]</f>
        <v>0</v>
      </c>
      <c r="H53" s="23"/>
    </row>
    <row r="54" spans="1:8" ht="15.75" x14ac:dyDescent="0.2">
      <c r="A54" s="30"/>
      <c r="B54" s="4"/>
      <c r="C54" s="43"/>
      <c r="D54" s="62"/>
      <c r="E54" s="62"/>
      <c r="F54" s="22"/>
      <c r="H54" s="23"/>
    </row>
    <row r="55" spans="1:8" ht="16.5" customHeight="1" x14ac:dyDescent="0.2"/>
    <row r="56" spans="1:8" ht="16.5" customHeight="1" x14ac:dyDescent="0.2"/>
    <row r="57" spans="1:8" ht="16.5" customHeight="1" x14ac:dyDescent="0.2"/>
    <row r="58" spans="1:8" ht="16.5" customHeight="1" x14ac:dyDescent="0.2"/>
    <row r="59" spans="1:8" ht="16.5" customHeight="1" x14ac:dyDescent="0.2"/>
    <row r="60" spans="1:8" ht="16.5" customHeight="1" x14ac:dyDescent="0.2"/>
    <row r="61" spans="1:8" ht="16.5" customHeight="1" x14ac:dyDescent="0.2"/>
    <row r="62" spans="1:8" ht="16.5" customHeight="1" x14ac:dyDescent="0.2"/>
    <row r="63" spans="1:8" ht="16.5" customHeight="1" x14ac:dyDescent="0.2"/>
    <row r="64" spans="1:8" ht="16.5" customHeight="1" x14ac:dyDescent="0.2"/>
    <row r="65" ht="16.5" customHeight="1" x14ac:dyDescent="0.2"/>
    <row r="66" ht="16.5" customHeight="1" x14ac:dyDescent="0.2"/>
    <row r="67" ht="16.5" customHeight="1" x14ac:dyDescent="0.2"/>
    <row r="68" ht="16.5" customHeight="1" x14ac:dyDescent="0.2"/>
    <row r="69" ht="16.5" customHeight="1" x14ac:dyDescent="0.2"/>
  </sheetData>
  <mergeCells count="3">
    <mergeCell ref="A1:E1"/>
    <mergeCell ref="A3:E3"/>
    <mergeCell ref="A8:E8"/>
  </mergeCells>
  <pageMargins left="0.16" right="0.22" top="0.17" bottom="0.17" header="0.17" footer="0.17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3C27B-65B0-478D-9981-A94C60E283CE}">
  <dimension ref="A1:E34"/>
  <sheetViews>
    <sheetView topLeftCell="A13" workbookViewId="0">
      <selection activeCell="C11" sqref="C11:C31"/>
    </sheetView>
  </sheetViews>
  <sheetFormatPr defaultRowHeight="12.75" x14ac:dyDescent="0.2"/>
  <cols>
    <col min="1" max="1" width="6.28515625" style="11" customWidth="1"/>
    <col min="2" max="2" width="36.28515625" style="11" customWidth="1"/>
    <col min="3" max="3" width="32.28515625" style="28" customWidth="1"/>
    <col min="4" max="4" width="27.5703125" style="59" customWidth="1"/>
    <col min="5" max="16384" width="9.140625" style="11"/>
  </cols>
  <sheetData>
    <row r="1" spans="1:5" ht="22.5" customHeight="1" x14ac:dyDescent="0.2">
      <c r="A1" s="64" t="s">
        <v>102</v>
      </c>
      <c r="B1" s="64"/>
      <c r="C1" s="64"/>
      <c r="D1" s="64"/>
    </row>
    <row r="2" spans="1:5" ht="12" customHeight="1" x14ac:dyDescent="0.2">
      <c r="A2" s="24"/>
      <c r="B2" s="24"/>
      <c r="C2" s="52"/>
      <c r="D2" s="52"/>
    </row>
    <row r="3" spans="1:5" ht="22.5" customHeight="1" x14ac:dyDescent="0.2">
      <c r="A3" s="65" t="s">
        <v>112</v>
      </c>
      <c r="B3" s="65"/>
      <c r="C3" s="65"/>
      <c r="D3" s="65"/>
    </row>
    <row r="4" spans="1:5" s="28" customFormat="1" ht="12" customHeight="1" x14ac:dyDescent="0.2">
      <c r="A4" s="27"/>
      <c r="B4" s="27"/>
      <c r="C4" s="27"/>
      <c r="D4" s="27"/>
    </row>
    <row r="5" spans="1:5" ht="12" customHeight="1" x14ac:dyDescent="0.2">
      <c r="A5" s="15"/>
      <c r="B5" s="16" t="s">
        <v>104</v>
      </c>
      <c r="C5" s="53" t="s">
        <v>46</v>
      </c>
      <c r="D5" s="53" t="s">
        <v>103</v>
      </c>
    </row>
    <row r="6" spans="1:5" ht="21" customHeight="1" x14ac:dyDescent="0.2">
      <c r="A6" s="15"/>
      <c r="B6" s="51"/>
      <c r="C6" s="54"/>
      <c r="D6" s="55"/>
    </row>
    <row r="7" spans="1:5" ht="12" customHeight="1" x14ac:dyDescent="0.2">
      <c r="A7" s="15"/>
      <c r="B7" s="6"/>
      <c r="C7" s="55"/>
      <c r="D7" s="55"/>
    </row>
    <row r="8" spans="1:5" ht="22.5" customHeight="1" x14ac:dyDescent="0.2">
      <c r="A8" s="66" t="s">
        <v>120</v>
      </c>
      <c r="B8" s="66"/>
      <c r="C8" s="66"/>
      <c r="D8" s="66"/>
    </row>
    <row r="9" spans="1:5" ht="12" customHeight="1" x14ac:dyDescent="0.2">
      <c r="A9" s="15"/>
      <c r="B9" s="6"/>
      <c r="C9" s="55"/>
      <c r="D9" s="55"/>
    </row>
    <row r="10" spans="1:5" ht="15" x14ac:dyDescent="0.2">
      <c r="A10" s="17" t="s">
        <v>31</v>
      </c>
      <c r="B10" s="12" t="s">
        <v>32</v>
      </c>
      <c r="C10" s="12" t="s">
        <v>142</v>
      </c>
      <c r="D10" s="12" t="s">
        <v>143</v>
      </c>
      <c r="E10" s="12" t="s">
        <v>100</v>
      </c>
    </row>
    <row r="11" spans="1:5" ht="15.75" x14ac:dyDescent="0.2">
      <c r="A11" s="7">
        <v>8025</v>
      </c>
      <c r="B11" s="2" t="s">
        <v>133</v>
      </c>
      <c r="C11" s="56"/>
      <c r="D11" s="56"/>
      <c r="E11" s="22">
        <f>Tabela11213[[#This Row],[BAR 1]]+Tabela11213[[#This Row],[BAR 2]]</f>
        <v>0</v>
      </c>
    </row>
    <row r="12" spans="1:5" ht="15.75" x14ac:dyDescent="0.2">
      <c r="A12" s="7">
        <v>61</v>
      </c>
      <c r="B12" s="2" t="s">
        <v>125</v>
      </c>
      <c r="C12" s="56"/>
      <c r="D12" s="56"/>
      <c r="E12" s="22">
        <f>Tabela11213[[#This Row],[BAR 1]]+Tabela11213[[#This Row],[BAR 2]]</f>
        <v>0</v>
      </c>
    </row>
    <row r="13" spans="1:5" ht="15.75" x14ac:dyDescent="0.2">
      <c r="A13" s="7">
        <v>65</v>
      </c>
      <c r="B13" s="2" t="s">
        <v>121</v>
      </c>
      <c r="C13" s="56"/>
      <c r="D13" s="56"/>
      <c r="E13" s="22">
        <f>Tabela11213[[#This Row],[BAR 1]]+Tabela11213[[#This Row],[BAR 2]]</f>
        <v>0</v>
      </c>
    </row>
    <row r="14" spans="1:5" ht="15.75" x14ac:dyDescent="0.2">
      <c r="A14" s="7">
        <v>60000</v>
      </c>
      <c r="B14" s="2" t="s">
        <v>40</v>
      </c>
      <c r="C14" s="56"/>
      <c r="D14" s="56"/>
      <c r="E14" s="22">
        <f>Tabela11213[[#This Row],[BAR 1]]+Tabela11213[[#This Row],[BAR 2]]</f>
        <v>0</v>
      </c>
    </row>
    <row r="15" spans="1:5" ht="15.75" x14ac:dyDescent="0.2">
      <c r="A15" s="7">
        <v>60</v>
      </c>
      <c r="B15" s="2" t="s">
        <v>122</v>
      </c>
      <c r="C15" s="56"/>
      <c r="D15" s="56"/>
      <c r="E15" s="22">
        <f>Tabela11213[[#This Row],[BAR 1]]+Tabela11213[[#This Row],[BAR 2]]</f>
        <v>0</v>
      </c>
    </row>
    <row r="16" spans="1:5" ht="15.75" x14ac:dyDescent="0.2">
      <c r="A16" s="7">
        <v>62</v>
      </c>
      <c r="B16" s="2" t="s">
        <v>123</v>
      </c>
      <c r="C16" s="56"/>
      <c r="D16" s="56"/>
      <c r="E16" s="22">
        <f>Tabela11213[[#This Row],[BAR 1]]+Tabela11213[[#This Row],[BAR 2]]</f>
        <v>0</v>
      </c>
    </row>
    <row r="17" spans="1:5" ht="15.75" x14ac:dyDescent="0.2">
      <c r="A17" s="7">
        <v>59</v>
      </c>
      <c r="B17" s="2" t="s">
        <v>124</v>
      </c>
      <c r="C17" s="56"/>
      <c r="D17" s="56"/>
      <c r="E17" s="22">
        <f>Tabela11213[[#This Row],[BAR 1]]+Tabela11213[[#This Row],[BAR 2]]</f>
        <v>0</v>
      </c>
    </row>
    <row r="18" spans="1:5" ht="15.75" x14ac:dyDescent="0.2">
      <c r="A18" s="7">
        <v>27</v>
      </c>
      <c r="B18" s="2" t="s">
        <v>7</v>
      </c>
      <c r="C18" s="56"/>
      <c r="D18" s="56"/>
      <c r="E18" s="22">
        <f>Tabela11213[[#This Row],[BAR 1]]+Tabela11213[[#This Row],[BAR 2]]</f>
        <v>0</v>
      </c>
    </row>
    <row r="19" spans="1:5" s="46" customFormat="1" ht="15.75" x14ac:dyDescent="0.2">
      <c r="A19" s="8">
        <v>856</v>
      </c>
      <c r="B19" s="25" t="s">
        <v>126</v>
      </c>
      <c r="C19" s="56"/>
      <c r="D19" s="56"/>
      <c r="E19" s="45">
        <f>Tabela11213[[#This Row],[BAR 1]]+Tabela11213[[#This Row],[BAR 2]]</f>
        <v>0</v>
      </c>
    </row>
    <row r="20" spans="1:5" ht="15.75" x14ac:dyDescent="0.2">
      <c r="A20" s="7">
        <v>90551</v>
      </c>
      <c r="B20" s="2" t="s">
        <v>38</v>
      </c>
      <c r="C20" s="56"/>
      <c r="D20" s="56"/>
      <c r="E20" s="22">
        <f>Tabela11213[[#This Row],[BAR 1]]+Tabela11213[[#This Row],[BAR 2]]</f>
        <v>0</v>
      </c>
    </row>
    <row r="21" spans="1:5" ht="15.75" x14ac:dyDescent="0.2">
      <c r="A21" s="7">
        <v>857</v>
      </c>
      <c r="B21" s="2" t="s">
        <v>127</v>
      </c>
      <c r="C21" s="56"/>
      <c r="D21" s="56"/>
      <c r="E21" s="22">
        <f>Tabela11213[[#This Row],[BAR 1]]+Tabela11213[[#This Row],[BAR 2]]</f>
        <v>0</v>
      </c>
    </row>
    <row r="22" spans="1:5" ht="15.75" x14ac:dyDescent="0.2">
      <c r="A22" s="7">
        <v>858</v>
      </c>
      <c r="B22" s="2" t="s">
        <v>66</v>
      </c>
      <c r="C22" s="56"/>
      <c r="D22" s="56"/>
      <c r="E22" s="22">
        <f>Tabela11213[[#This Row],[BAR 1]]+Tabela11213[[#This Row],[BAR 2]]</f>
        <v>0</v>
      </c>
    </row>
    <row r="23" spans="1:5" ht="15.75" x14ac:dyDescent="0.2">
      <c r="A23" s="7">
        <v>848</v>
      </c>
      <c r="B23" s="2" t="s">
        <v>64</v>
      </c>
      <c r="C23" s="13"/>
      <c r="D23" s="13"/>
      <c r="E23" s="22">
        <f>Tabela11213[[#This Row],[BAR 1]]+Tabela11213[[#This Row],[BAR 2]]</f>
        <v>0</v>
      </c>
    </row>
    <row r="24" spans="1:5" ht="15.75" x14ac:dyDescent="0.2">
      <c r="A24" s="7">
        <v>849</v>
      </c>
      <c r="B24" s="2" t="s">
        <v>65</v>
      </c>
      <c r="C24" s="56"/>
      <c r="D24" s="56"/>
      <c r="E24" s="22">
        <f>Tabela11213[[#This Row],[BAR 1]]+Tabela11213[[#This Row],[BAR 2]]</f>
        <v>0</v>
      </c>
    </row>
    <row r="25" spans="1:5" ht="15.75" x14ac:dyDescent="0.25">
      <c r="A25" s="7">
        <v>362</v>
      </c>
      <c r="B25" s="3" t="s">
        <v>129</v>
      </c>
      <c r="C25" s="56"/>
      <c r="D25" s="56"/>
      <c r="E25" s="22">
        <f>Tabela11213[[#This Row],[BAR 1]]+Tabela11213[[#This Row],[BAR 2]]</f>
        <v>0</v>
      </c>
    </row>
    <row r="26" spans="1:5" ht="15.75" x14ac:dyDescent="0.2">
      <c r="A26" s="8">
        <v>860</v>
      </c>
      <c r="B26" s="2" t="s">
        <v>130</v>
      </c>
      <c r="C26" s="56"/>
      <c r="D26" s="56"/>
      <c r="E26" s="22">
        <f>Tabela11213[[#This Row],[BAR 1]]+Tabela11213[[#This Row],[BAR 2]]</f>
        <v>0</v>
      </c>
    </row>
    <row r="27" spans="1:5" ht="15.75" x14ac:dyDescent="0.2">
      <c r="A27" s="7">
        <v>500057</v>
      </c>
      <c r="B27" s="2" t="s">
        <v>145</v>
      </c>
      <c r="C27" s="56"/>
      <c r="D27" s="56"/>
      <c r="E27" s="22">
        <f>Tabela11213[[#This Row],[BAR 1]]+Tabela11213[[#This Row],[BAR 2]]</f>
        <v>0</v>
      </c>
    </row>
    <row r="28" spans="1:5" ht="15.75" x14ac:dyDescent="0.2">
      <c r="A28" s="7">
        <v>855</v>
      </c>
      <c r="B28" s="2" t="s">
        <v>144</v>
      </c>
      <c r="C28" s="56"/>
      <c r="D28" s="56"/>
      <c r="E28" s="22">
        <f>Tabela11213[[#This Row],[BAR 1]]+Tabela11213[[#This Row],[BAR 2]]</f>
        <v>0</v>
      </c>
    </row>
    <row r="29" spans="1:5" ht="15.75" x14ac:dyDescent="0.2">
      <c r="A29" s="7">
        <v>500040</v>
      </c>
      <c r="B29" s="25" t="s">
        <v>146</v>
      </c>
      <c r="C29" s="56"/>
      <c r="D29" s="56"/>
      <c r="E29" s="22">
        <f>Tabela11213[[#This Row],[BAR 1]]+Tabela11213[[#This Row],[BAR 2]]</f>
        <v>0</v>
      </c>
    </row>
    <row r="30" spans="1:5" ht="15.75" x14ac:dyDescent="0.2">
      <c r="A30" s="7"/>
      <c r="B30" s="2"/>
      <c r="C30" s="56"/>
      <c r="D30" s="56"/>
      <c r="E30" s="22">
        <f>Tabela11213[[#This Row],[BAR 1]]+Tabela11213[[#This Row],[BAR 2]]</f>
        <v>0</v>
      </c>
    </row>
    <row r="31" spans="1:5" ht="16.5" customHeight="1" x14ac:dyDescent="0.2">
      <c r="A31" s="31"/>
      <c r="B31" s="32"/>
      <c r="C31" s="57"/>
      <c r="D31" s="58"/>
    </row>
    <row r="32" spans="1:5" ht="16.5" customHeight="1" x14ac:dyDescent="0.2">
      <c r="A32" s="31"/>
      <c r="B32" s="32"/>
      <c r="C32" s="57"/>
      <c r="D32" s="58"/>
    </row>
    <row r="33" spans="1:4" ht="15.75" x14ac:dyDescent="0.2">
      <c r="A33" s="31"/>
      <c r="B33" s="32"/>
      <c r="C33" s="57"/>
      <c r="D33" s="58"/>
    </row>
    <row r="34" spans="1:4" ht="15.75" x14ac:dyDescent="0.2">
      <c r="A34" s="30"/>
      <c r="B34" s="4"/>
    </row>
  </sheetData>
  <mergeCells count="3">
    <mergeCell ref="A1:D1"/>
    <mergeCell ref="A3:D3"/>
    <mergeCell ref="A8:D8"/>
  </mergeCells>
  <pageMargins left="0.16" right="0.22" top="0.17" bottom="0.17" header="0.17" footer="0.17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E6358-B07B-4FDC-B083-80FB9DB8A3EB}">
  <dimension ref="A1:E49"/>
  <sheetViews>
    <sheetView tabSelected="1" workbookViewId="0">
      <selection activeCell="L21" sqref="L21"/>
    </sheetView>
  </sheetViews>
  <sheetFormatPr defaultRowHeight="12.75" x14ac:dyDescent="0.2"/>
  <cols>
    <col min="1" max="1" width="6.28515625" style="11" customWidth="1"/>
    <col min="2" max="2" width="36.28515625" style="11" customWidth="1"/>
    <col min="3" max="3" width="32.28515625" style="28" customWidth="1"/>
    <col min="4" max="4" width="27.5703125" style="59" customWidth="1"/>
    <col min="5" max="16384" width="9.140625" style="11"/>
  </cols>
  <sheetData>
    <row r="1" spans="1:5" ht="22.5" customHeight="1" x14ac:dyDescent="0.2">
      <c r="A1" s="64" t="s">
        <v>102</v>
      </c>
      <c r="B1" s="64"/>
      <c r="C1" s="64"/>
      <c r="D1" s="64"/>
    </row>
    <row r="2" spans="1:5" ht="12" customHeight="1" x14ac:dyDescent="0.2">
      <c r="A2" s="24"/>
      <c r="B2" s="24"/>
      <c r="C2" s="52"/>
      <c r="D2" s="52"/>
    </row>
    <row r="3" spans="1:5" ht="22.5" customHeight="1" x14ac:dyDescent="0.2">
      <c r="A3" s="65" t="s">
        <v>112</v>
      </c>
      <c r="B3" s="65"/>
      <c r="C3" s="65"/>
      <c r="D3" s="65"/>
    </row>
    <row r="4" spans="1:5" s="28" customFormat="1" ht="12" customHeight="1" x14ac:dyDescent="0.2">
      <c r="A4" s="27"/>
      <c r="B4" s="27"/>
      <c r="C4" s="27"/>
      <c r="D4" s="27"/>
    </row>
    <row r="5" spans="1:5" ht="12" customHeight="1" x14ac:dyDescent="0.2">
      <c r="A5" s="15"/>
      <c r="B5" s="16" t="s">
        <v>104</v>
      </c>
      <c r="C5" s="53" t="s">
        <v>46</v>
      </c>
      <c r="D5" s="53" t="s">
        <v>103</v>
      </c>
    </row>
    <row r="6" spans="1:5" ht="21" customHeight="1" x14ac:dyDescent="0.2">
      <c r="A6" s="15"/>
      <c r="B6" s="6"/>
      <c r="C6" s="54"/>
      <c r="D6" s="55"/>
    </row>
    <row r="7" spans="1:5" ht="12" customHeight="1" x14ac:dyDescent="0.2">
      <c r="A7" s="15"/>
      <c r="B7" s="6"/>
      <c r="C7" s="55"/>
      <c r="D7" s="55"/>
    </row>
    <row r="8" spans="1:5" ht="22.5" customHeight="1" x14ac:dyDescent="0.2">
      <c r="A8" s="66" t="s">
        <v>131</v>
      </c>
      <c r="B8" s="66"/>
      <c r="C8" s="66"/>
      <c r="D8" s="66"/>
    </row>
    <row r="9" spans="1:5" ht="12" customHeight="1" x14ac:dyDescent="0.2">
      <c r="A9" s="15"/>
      <c r="B9" s="6"/>
      <c r="C9" s="55"/>
      <c r="D9" s="55"/>
    </row>
    <row r="10" spans="1:5" ht="15" x14ac:dyDescent="0.2">
      <c r="A10" s="17" t="s">
        <v>31</v>
      </c>
      <c r="B10" s="12" t="s">
        <v>32</v>
      </c>
      <c r="C10" s="12" t="s">
        <v>142</v>
      </c>
      <c r="D10" s="12" t="s">
        <v>143</v>
      </c>
      <c r="E10" s="12" t="s">
        <v>100</v>
      </c>
    </row>
    <row r="11" spans="1:5" ht="15.75" x14ac:dyDescent="0.2">
      <c r="A11" s="7">
        <v>774</v>
      </c>
      <c r="B11" s="2" t="s">
        <v>75</v>
      </c>
      <c r="C11" s="56"/>
      <c r="D11" s="56"/>
      <c r="E11" s="22">
        <f>Tabela112131418[[#This Row],[BAR 1]]+Tabela112131418[[#This Row],[BAR 2]]</f>
        <v>0</v>
      </c>
    </row>
    <row r="12" spans="1:5" ht="15.75" x14ac:dyDescent="0.2">
      <c r="A12" s="7">
        <v>3</v>
      </c>
      <c r="B12" s="2" t="s">
        <v>74</v>
      </c>
      <c r="C12" s="56"/>
      <c r="D12" s="56"/>
      <c r="E12" s="22">
        <f>Tabela112131418[[#This Row],[BAR 1]]+Tabela112131418[[#This Row],[BAR 2]]</f>
        <v>0</v>
      </c>
    </row>
    <row r="13" spans="1:5" ht="15.75" x14ac:dyDescent="0.2">
      <c r="A13" s="7">
        <v>773</v>
      </c>
      <c r="B13" s="2" t="s">
        <v>73</v>
      </c>
      <c r="C13" s="56"/>
      <c r="D13" s="56"/>
      <c r="E13" s="22">
        <f>Tabela112131418[[#This Row],[BAR 1]]+Tabela112131418[[#This Row],[BAR 2]]</f>
        <v>0</v>
      </c>
    </row>
    <row r="14" spans="1:5" ht="15.75" x14ac:dyDescent="0.2">
      <c r="A14" s="7">
        <v>775</v>
      </c>
      <c r="B14" s="2" t="s">
        <v>76</v>
      </c>
      <c r="C14" s="56"/>
      <c r="D14" s="56"/>
      <c r="E14" s="22">
        <f>Tabela112131418[[#This Row],[BAR 1]]+Tabela112131418[[#This Row],[BAR 2]]</f>
        <v>0</v>
      </c>
    </row>
    <row r="15" spans="1:5" ht="15.75" x14ac:dyDescent="0.2">
      <c r="A15" s="7">
        <v>772</v>
      </c>
      <c r="B15" s="2" t="s">
        <v>72</v>
      </c>
      <c r="C15" s="56"/>
      <c r="D15" s="56"/>
      <c r="E15" s="22">
        <f>Tabela112131418[[#This Row],[BAR 1]]+Tabela112131418[[#This Row],[BAR 2]]</f>
        <v>0</v>
      </c>
    </row>
    <row r="16" spans="1:5" ht="15.75" x14ac:dyDescent="0.2">
      <c r="A16" s="7">
        <v>770</v>
      </c>
      <c r="B16" s="2" t="s">
        <v>70</v>
      </c>
      <c r="C16" s="56"/>
      <c r="D16" s="56"/>
      <c r="E16" s="22">
        <f>Tabela112131418[[#This Row],[BAR 1]]+Tabela112131418[[#This Row],[BAR 2]]</f>
        <v>0</v>
      </c>
    </row>
    <row r="17" spans="1:5" ht="15.75" x14ac:dyDescent="0.2">
      <c r="A17" s="7">
        <v>771</v>
      </c>
      <c r="B17" s="2" t="s">
        <v>71</v>
      </c>
      <c r="C17" s="56"/>
      <c r="D17" s="56"/>
      <c r="E17" s="22">
        <f>Tabela112131418[[#This Row],[BAR 1]]+Tabela112131418[[#This Row],[BAR 2]]</f>
        <v>0</v>
      </c>
    </row>
    <row r="18" spans="1:5" ht="15.75" x14ac:dyDescent="0.2">
      <c r="A18" s="7"/>
      <c r="B18" s="2"/>
      <c r="C18" s="56"/>
      <c r="D18" s="56"/>
      <c r="E18" s="22">
        <f>Tabela112131418[[#This Row],[BAR 1]]+Tabela112131418[[#This Row],[BAR 2]]</f>
        <v>0</v>
      </c>
    </row>
    <row r="19" spans="1:5" s="46" customFormat="1" ht="15.75" x14ac:dyDescent="0.2">
      <c r="A19" s="8"/>
      <c r="B19" s="25"/>
      <c r="C19" s="56"/>
      <c r="D19" s="56"/>
      <c r="E19" s="45">
        <f>Tabela112131418[[#This Row],[BAR 1]]+Tabela112131418[[#This Row],[BAR 2]]</f>
        <v>0</v>
      </c>
    </row>
    <row r="20" spans="1:5" ht="16.5" customHeight="1" x14ac:dyDescent="0.2">
      <c r="A20" s="31"/>
      <c r="B20" s="32"/>
      <c r="C20" s="57"/>
      <c r="D20" s="58"/>
    </row>
    <row r="21" spans="1:5" ht="22.5" customHeight="1" x14ac:dyDescent="0.2">
      <c r="A21" s="66" t="s">
        <v>132</v>
      </c>
      <c r="B21" s="66"/>
      <c r="C21" s="66"/>
      <c r="D21" s="66"/>
    </row>
    <row r="22" spans="1:5" ht="12" customHeight="1" x14ac:dyDescent="0.2">
      <c r="A22" s="15"/>
      <c r="B22" s="6"/>
      <c r="C22" s="55"/>
      <c r="D22" s="55"/>
    </row>
    <row r="23" spans="1:5" ht="15" x14ac:dyDescent="0.2">
      <c r="A23" s="17" t="s">
        <v>31</v>
      </c>
      <c r="B23" s="12" t="s">
        <v>32</v>
      </c>
      <c r="C23" s="12" t="s">
        <v>142</v>
      </c>
      <c r="D23" s="12" t="s">
        <v>143</v>
      </c>
      <c r="E23" s="12" t="s">
        <v>100</v>
      </c>
    </row>
    <row r="24" spans="1:5" ht="15.75" x14ac:dyDescent="0.2">
      <c r="A24" s="7">
        <v>24</v>
      </c>
      <c r="B24" s="2" t="s">
        <v>134</v>
      </c>
      <c r="C24" s="56"/>
      <c r="D24" s="56"/>
      <c r="E24" s="22">
        <f>Tabela11213141519[[#This Row],[BAR 1]]+Tabela11213141519[[#This Row],[BAR 2]]</f>
        <v>0</v>
      </c>
    </row>
    <row r="25" spans="1:5" ht="15.75" x14ac:dyDescent="0.2">
      <c r="A25" s="7">
        <v>768</v>
      </c>
      <c r="B25" s="2" t="s">
        <v>77</v>
      </c>
      <c r="C25" s="56"/>
      <c r="D25" s="56"/>
      <c r="E25" s="22">
        <f>Tabela11213141519[[#This Row],[BAR 1]]+Tabela11213141519[[#This Row],[BAR 2]]</f>
        <v>0</v>
      </c>
    </row>
    <row r="26" spans="1:5" ht="15.75" x14ac:dyDescent="0.2">
      <c r="A26" s="7">
        <v>463</v>
      </c>
      <c r="B26" s="2" t="s">
        <v>78</v>
      </c>
      <c r="C26" s="56"/>
      <c r="D26" s="56"/>
      <c r="E26" s="22">
        <f>Tabela11213141519[[#This Row],[BAR 1]]+Tabela11213141519[[#This Row],[BAR 2]]</f>
        <v>0</v>
      </c>
    </row>
    <row r="27" spans="1:5" ht="15.75" x14ac:dyDescent="0.2">
      <c r="A27" s="7">
        <v>1802</v>
      </c>
      <c r="B27" s="2" t="s">
        <v>79</v>
      </c>
      <c r="C27" s="56"/>
      <c r="D27" s="56"/>
      <c r="E27" s="22">
        <f>Tabela11213141519[[#This Row],[BAR 1]]+Tabela11213141519[[#This Row],[BAR 2]]</f>
        <v>0</v>
      </c>
    </row>
    <row r="28" spans="1:5" ht="15.75" x14ac:dyDescent="0.2">
      <c r="A28" s="7">
        <v>776</v>
      </c>
      <c r="B28" s="2" t="s">
        <v>80</v>
      </c>
      <c r="C28" s="56"/>
      <c r="D28" s="56"/>
      <c r="E28" s="22">
        <f>Tabela11213141519[[#This Row],[BAR 1]]+Tabela11213141519[[#This Row],[BAR 2]]</f>
        <v>0</v>
      </c>
    </row>
    <row r="29" spans="1:5" ht="15.75" x14ac:dyDescent="0.2">
      <c r="A29" s="7">
        <v>53</v>
      </c>
      <c r="B29" s="2" t="s">
        <v>0</v>
      </c>
      <c r="C29" s="56"/>
      <c r="D29" s="56"/>
      <c r="E29" s="22">
        <f>Tabela11213141519[[#This Row],[BAR 1]]+Tabela11213141519[[#This Row],[BAR 2]]</f>
        <v>0</v>
      </c>
    </row>
    <row r="30" spans="1:5" ht="15.75" x14ac:dyDescent="0.2">
      <c r="A30" s="7">
        <v>373</v>
      </c>
      <c r="B30" s="2" t="s">
        <v>128</v>
      </c>
      <c r="C30" s="56"/>
      <c r="D30" s="56"/>
      <c r="E30" s="22">
        <f>Tabela11213141519[[#This Row],[BAR 1]]+Tabela11213141519[[#This Row],[BAR 2]]</f>
        <v>0</v>
      </c>
    </row>
    <row r="31" spans="1:5" ht="15.75" x14ac:dyDescent="0.2">
      <c r="A31" s="7"/>
      <c r="B31" s="2"/>
      <c r="C31" s="56"/>
      <c r="D31" s="56"/>
      <c r="E31" s="22">
        <f>Tabela11213141519[[#This Row],[BAR 1]]+Tabela11213141519[[#This Row],[BAR 2]]</f>
        <v>0</v>
      </c>
    </row>
    <row r="32" spans="1:5" ht="16.5" customHeight="1" x14ac:dyDescent="0.2">
      <c r="A32" s="31"/>
      <c r="B32" s="32"/>
      <c r="C32" s="57"/>
      <c r="D32" s="58"/>
    </row>
    <row r="33" spans="1:5" ht="16.5" customHeight="1" x14ac:dyDescent="0.2">
      <c r="A33" s="31"/>
      <c r="B33" s="32"/>
      <c r="C33" s="57"/>
      <c r="D33" s="58"/>
    </row>
    <row r="34" spans="1:5" ht="15.75" x14ac:dyDescent="0.2">
      <c r="A34" s="31"/>
      <c r="B34" s="32"/>
      <c r="C34" s="57"/>
      <c r="D34" s="58"/>
    </row>
    <row r="35" spans="1:5" ht="15.75" x14ac:dyDescent="0.2">
      <c r="A35" s="30"/>
      <c r="B35" s="4"/>
    </row>
    <row r="36" spans="1:5" ht="15.75" x14ac:dyDescent="0.2">
      <c r="A36" s="30"/>
      <c r="B36" s="4"/>
    </row>
    <row r="37" spans="1:5" ht="22.5" customHeight="1" x14ac:dyDescent="0.2">
      <c r="A37" s="66" t="s">
        <v>135</v>
      </c>
      <c r="B37" s="66"/>
      <c r="C37" s="66"/>
      <c r="D37" s="66"/>
    </row>
    <row r="38" spans="1:5" ht="12" customHeight="1" x14ac:dyDescent="0.2">
      <c r="A38" s="15"/>
      <c r="B38" s="6"/>
      <c r="C38" s="55"/>
      <c r="D38" s="55"/>
    </row>
    <row r="39" spans="1:5" ht="15" x14ac:dyDescent="0.2">
      <c r="A39" s="17" t="s">
        <v>31</v>
      </c>
      <c r="B39" s="12" t="s">
        <v>32</v>
      </c>
      <c r="C39" s="12" t="s">
        <v>142</v>
      </c>
      <c r="D39" s="12" t="s">
        <v>143</v>
      </c>
      <c r="E39" s="12" t="s">
        <v>100</v>
      </c>
    </row>
    <row r="40" spans="1:5" ht="15.75" x14ac:dyDescent="0.2">
      <c r="A40" s="7">
        <v>5144</v>
      </c>
      <c r="B40" s="2" t="s">
        <v>67</v>
      </c>
      <c r="C40" s="56"/>
      <c r="D40" s="56"/>
      <c r="E40" s="22">
        <f>Tabela1121314151620[[#This Row],[BAR 1]]+Tabela1121314151620[[#This Row],[BAR 2]]</f>
        <v>0</v>
      </c>
    </row>
    <row r="41" spans="1:5" ht="15.75" x14ac:dyDescent="0.2">
      <c r="A41" s="7">
        <v>5215</v>
      </c>
      <c r="B41" s="2" t="s">
        <v>68</v>
      </c>
      <c r="C41" s="56"/>
      <c r="D41" s="56"/>
      <c r="E41" s="22">
        <f>Tabela1121314151620[[#This Row],[BAR 1]]+Tabela1121314151620[[#This Row],[BAR 2]]</f>
        <v>0</v>
      </c>
    </row>
    <row r="42" spans="1:5" ht="15.75" x14ac:dyDescent="0.2">
      <c r="A42" s="7">
        <v>5216</v>
      </c>
      <c r="B42" s="2" t="s">
        <v>69</v>
      </c>
      <c r="C42" s="56"/>
      <c r="D42" s="56"/>
      <c r="E42" s="22">
        <f>Tabela1121314151620[[#This Row],[BAR 1]]+Tabela1121314151620[[#This Row],[BAR 2]]</f>
        <v>0</v>
      </c>
    </row>
    <row r="43" spans="1:5" ht="15.75" x14ac:dyDescent="0.2">
      <c r="A43" s="7"/>
      <c r="B43" s="2"/>
      <c r="C43" s="56"/>
      <c r="D43" s="56"/>
      <c r="E43" s="22">
        <f>Tabela1121314151620[[#This Row],[BAR 1]]+Tabela1121314151620[[#This Row],[BAR 2]]</f>
        <v>0</v>
      </c>
    </row>
    <row r="44" spans="1:5" ht="15.75" x14ac:dyDescent="0.2">
      <c r="A44" s="7"/>
      <c r="B44" s="2"/>
      <c r="C44" s="56"/>
      <c r="D44" s="56"/>
      <c r="E44" s="22">
        <f>Tabela1121314151620[[#This Row],[BAR 1]]+Tabela1121314151620[[#This Row],[BAR 2]]</f>
        <v>0</v>
      </c>
    </row>
    <row r="45" spans="1:5" ht="15.75" x14ac:dyDescent="0.2">
      <c r="A45" s="7"/>
      <c r="B45" s="2"/>
      <c r="C45" s="56"/>
      <c r="D45" s="56"/>
      <c r="E45" s="22">
        <f>Tabela1121314151620[[#This Row],[BAR 1]]+Tabela1121314151620[[#This Row],[BAR 2]]</f>
        <v>0</v>
      </c>
    </row>
    <row r="46" spans="1:5" ht="16.5" customHeight="1" x14ac:dyDescent="0.2">
      <c r="A46" s="31"/>
      <c r="B46" s="32"/>
      <c r="C46" s="57"/>
      <c r="D46" s="58"/>
    </row>
    <row r="47" spans="1:5" ht="16.5" customHeight="1" x14ac:dyDescent="0.2">
      <c r="A47" s="31"/>
      <c r="B47" s="32"/>
      <c r="C47" s="57"/>
      <c r="D47" s="58"/>
    </row>
    <row r="48" spans="1:5" ht="15.75" x14ac:dyDescent="0.2">
      <c r="A48" s="31"/>
      <c r="B48" s="32"/>
      <c r="C48" s="57"/>
      <c r="D48" s="58"/>
    </row>
    <row r="49" spans="1:2" ht="15.75" x14ac:dyDescent="0.2">
      <c r="A49" s="30"/>
      <c r="B49" s="4"/>
    </row>
  </sheetData>
  <mergeCells count="5">
    <mergeCell ref="A1:D1"/>
    <mergeCell ref="A3:D3"/>
    <mergeCell ref="A8:D8"/>
    <mergeCell ref="A21:D21"/>
    <mergeCell ref="A37:D37"/>
  </mergeCells>
  <pageMargins left="0.16" right="0.22" top="0.17" bottom="0.17" header="0.17" footer="0.17"/>
  <pageSetup paperSize="9" orientation="portrait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5</vt:i4>
      </vt:variant>
    </vt:vector>
  </HeadingPairs>
  <TitlesOfParts>
    <vt:vector size="11" baseType="lpstr">
      <vt:lpstr>PICOLE - BOMBONIERE</vt:lpstr>
      <vt:lpstr>POLPAS 1</vt:lpstr>
      <vt:lpstr>VINHOS</vt:lpstr>
      <vt:lpstr>DESTILADOS</vt:lpstr>
      <vt:lpstr>BEBIDAS SEM</vt:lpstr>
      <vt:lpstr>BEBIDAS COM</vt:lpstr>
      <vt:lpstr>'BEBIDAS COM'!Area_de_impressao</vt:lpstr>
      <vt:lpstr>'BEBIDAS SEM'!Area_de_impressao</vt:lpstr>
      <vt:lpstr>DESTILADOS!Area_de_impressao</vt:lpstr>
      <vt:lpstr>'POLPAS 1'!Area_de_impressao</vt:lpstr>
      <vt:lpstr>VINHOS!Area_de_impressao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Maylon</dc:creator>
  <cp:lastModifiedBy>Maylon</cp:lastModifiedBy>
  <cp:lastPrinted>2026-04-27T14:02:02Z</cp:lastPrinted>
  <dcterms:created xsi:type="dcterms:W3CDTF">2025-04-16T00:03:01Z</dcterms:created>
  <dcterms:modified xsi:type="dcterms:W3CDTF">2026-04-28T15:59:34Z</dcterms:modified>
</cp:coreProperties>
</file>